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X:\Chapter 2 A\Submission Material MDPI\"/>
    </mc:Choice>
  </mc:AlternateContent>
  <xr:revisionPtr revIDLastSave="0" documentId="13_ncr:1_{7CAF28EA-8900-4A21-AC49-C51397E07C6F}" xr6:coauthVersionLast="47" xr6:coauthVersionMax="47" xr10:uidLastSave="{00000000-0000-0000-0000-000000000000}"/>
  <bookViews>
    <workbookView xWindow="-108" yWindow="-108" windowWidth="23256" windowHeight="12456" tabRatio="500" xr2:uid="{00000000-000D-0000-FFFF-FFFF00000000}"/>
  </bookViews>
  <sheets>
    <sheet name="README" sheetId="1" r:id="rId1"/>
    <sheet name="Table S1" sheetId="2" r:id="rId2"/>
    <sheet name="Table S2" sheetId="3" r:id="rId3"/>
    <sheet name="Table S3a" sheetId="4" r:id="rId4"/>
    <sheet name="Table S3b" sheetId="5" r:id="rId5"/>
    <sheet name="Table S4" sheetId="6" r:id="rId6"/>
  </sheets>
  <definedNames>
    <definedName name="_xlnm._FilterDatabase" localSheetId="3" hidden="1">'Table S3a'!$A$4:$K$74</definedName>
    <definedName name="_xlnm._FilterDatabase" localSheetId="4" hidden="1">'Table S3b'!$A$4:$T$45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1" i="4" l="1"/>
  <c r="B80" i="4"/>
  <c r="B78" i="4"/>
  <c r="B77" i="4"/>
  <c r="B79" i="4" s="1"/>
  <c r="B13" i="2"/>
  <c r="B14" i="2" s="1"/>
  <c r="B10" i="2"/>
</calcChain>
</file>

<file path=xl/sharedStrings.xml><?xml version="1.0" encoding="utf-8"?>
<sst xmlns="http://schemas.openxmlformats.org/spreadsheetml/2006/main" count="1296" uniqueCount="873">
  <si>
    <t>Supplementary Materials: Tables S1–S4</t>
  </si>
  <si>
    <t>Article</t>
  </si>
  <si>
    <t>Ntlokwana, A.K.; Ntwasa, M.; Mudimu, E. Computational Modelling of Metastatic Prostate Cancer: A Systematic Review of Agent-Based, Hybrid, and Integrative Approaches. Submitted to Biology (MDPI).</t>
  </si>
  <si>
    <t>Table S1</t>
  </si>
  <si>
    <t>Electronic search strategies, search dates and per-database record yields, with de-duplication counts.</t>
  </si>
  <si>
    <t>Table S2</t>
  </si>
  <si>
    <t>Mathematical Modelling Quality Checklist (MMQC): items and scoring anchors.</t>
  </si>
  <si>
    <t>Table S3a</t>
  </si>
  <si>
    <t>Full-text eligibility decisions for the 70 reports sought for retrieval, with reasons for exclusion.</t>
  </si>
  <si>
    <t>Table S3b</t>
  </si>
  <si>
    <t>Item-level MMQC scores with verbatim supporting evidence and its location in the source article, for the 41 included studies.</t>
  </si>
  <si>
    <t>Table S4</t>
  </si>
  <si>
    <t>PRISMA 2020 checklist with the location of each item in the manuscript.</t>
  </si>
  <si>
    <t>Source</t>
  </si>
  <si>
    <t>Evidence convention</t>
  </si>
  <si>
    <t>In Table S3b each evidence cell gives a short verbatim quotation followed by its location in the article (in bold); several quotations are separated by “|”. Where no passage could be quoted, the cell states what was checked.</t>
  </si>
  <si>
    <t>Table S1. Electronic search strategies and record yields</t>
  </si>
  <si>
    <t>Searches were limited to peer-reviewed articles in English. Publication dates: PubMed/MEDLINE 1 Jan 2005 – 31 Jan 2025; Scopus and Web of Science 2005–2026. The English limit was applied in the query for PubMed/MEDLINE and Scopus, and at title/abstract screening for Web of Science. Each string is given exactly as run.</t>
  </si>
  <si>
    <t>Database</t>
  </si>
  <si>
    <t>Search date</t>
  </si>
  <si>
    <t>Records retrieved</t>
  </si>
  <si>
    <t>Search string (as run)</t>
  </si>
  <si>
    <t>Limits applied</t>
  </si>
  <si>
    <t>PubMed/MEDLINE</t>
  </si>
  <si>
    <t>2026-07-19</t>
  </si>
  <si>
    <t>(("prostatic neoplasms"[MeSH Terms] OR "prostate cancer"[tiab] OR "prostate adenocarcinoma"[tiab] OR "mCRPC"[tiab] OR "castration-resistant prostate"[tiab] OR "castration resistant prostate"[tiab]) AND ("agent-based model*"[tiab] OR "agent based model*"[tiab] OR "individual-based model*"[tiab] OR "hybrid model*"[tiab] OR "discrete-continuum"[tiab] OR "partial differential equation*"[tiab] OR "mathematical model*"[tiab] OR "computational model*"[tiab] OR "in silico"[tiab] OR "digital twin*"[tiab] OR "cellular automat*"[tiab]) AND ("invasion"[tiab] OR "metastasis"[tiab] OR "metastatic"[tiab] OR "immune evasion"[tiab] OR "tumor microenvironment"[tiab] OR "tumour microenvironment"[tiab] OR "PD-L1"[tiab] OR "immune checkpoint"[tiab] OR "RANKL"[tiab] OR "bone niche"[tiab] OR "bone metastasis"[tiab] OR "castration resistance"[tiab])) AND ("2005/01/01"[Date - Publication] : "2025/01/31"[Date - Publication]) AND (english[Filter]) AND (journal article[Publication Type]) NOT (review[Publication Type] OR preprint[Publication Type])</t>
  </si>
  <si>
    <t>1 Jan 2005 – 31 Jan 2025 (publication date, in query); Journal Article; English; reviews and preprints excluded</t>
  </si>
  <si>
    <t>Scopus</t>
  </si>
  <si>
    <t>2026-07-23</t>
  </si>
  <si>
    <t>TITLE-ABS-KEY("prostate cancer" OR "prostate adenocarcinoma" OR "mCRPC" OR ("bone metastasis" AND "prostate")) AND TITLE-ABS-KEY("agent-based model" OR "hybrid model" OR "partial differential equation" OR "mathematical model" OR "computational model" OR "in silico" OR "digital twin" OR "cellular automata") AND TITLE-ABS-KEY("invasion" OR "metastasis" OR "immune evasion" OR "tumour microenvironment" OR "tumor microenvironment" OR "PD-L1" OR "immune checkpoint" OR "RANKL" OR "bone niche" OR "castration resistance") AND PUBYEAR &gt; 2004 AND PUBYEAR &lt; 2027 AND DOCTYPE(ar) AND LANGUAGE(English)</t>
  </si>
  <si>
    <t>PUBYEAR 2005–2026; DOCTYPE(ar); LANGUAGE(English)</t>
  </si>
  <si>
    <t>Web of Science Core Collection</t>
  </si>
  <si>
    <t>2026-08-21</t>
  </si>
  <si>
    <t>TS=("prostate cancer" OR "prostate adenocarcinoma" OR "metastatic castration-resistant prostate cancer" OR "mCRPC" OR (("bone metastasis" OR "bone metastases") AND prostate)) AND TS=("agent-based model*" OR "hybrid model*" OR "partial differential equation*" OR "mathematical model*" OR "computational model*" OR "mechanistic model*" OR "multiscale model*" OR "in silico" OR "digital twin*" OR "cellular automata") AND TS=("invasion" OR "metastas*" OR "immune evasion" OR "immune response*" OR "immune interaction*" OR "tumour microenvironment" OR "tumor microenvironment" OR "immune microenvironment" OR "tumour-immune" OR "tumor-immune" OR "PD-L1" OR "immune checkpoint*" OR "RANKL" OR "bone niche" OR "bone microenvironment" OR "castration resistance") AND PY=(2005-2026) AND DT=(Article)</t>
  </si>
  <si>
    <t>PY 2005–2026 and DT Article in query; English limit applied at title/abstract screening (code E6) because the WoS Starter API does not support LA=; the 413 records include all languages</t>
  </si>
  <si>
    <t>De-duplication</t>
  </si>
  <si>
    <t>Records identified (all databases)</t>
  </si>
  <si>
    <t>PubMed/MEDLINE ∩ Scopus duplicates (DOI match)</t>
  </si>
  <si>
    <t>Web of Science records already in PubMed/MEDLINE or Scopus (DOI match)</t>
  </si>
  <si>
    <t>Duplicates removed</t>
  </si>
  <si>
    <t>Unique records screened</t>
  </si>
  <si>
    <t>Conceptual domains combined with AND: (1) disease — prostate cancer, prostate adenocarcinoma, mCRPC, bone metastasis with prostate; (2) computational approach — agent-based, hybrid, PDE, mathematical, computational, mechanistic, multiscale, in silico, digital twin, cellular automata; (3) biological process — invasion, metastasis, immune evasion/response/interaction, tumour/immune microenvironment, PD-L1, immune checkpoints, RANKL, bone niche/microenvironment, castration resistance.</t>
  </si>
  <si>
    <t>Table S2. Mathematical Modelling Quality Checklist (MMQC): items and scoring anchors</t>
  </si>
  <si>
    <t>Each item is scored 0, 1 or 2; the total (0–12) is banded High 9–12, Moderate 5–8, Low 0–4. Every score is supported by a verbatim quotation and its location in the article (Table S3b).</t>
  </si>
  <si>
    <t>Item</t>
  </si>
  <si>
    <t>Criterion</t>
  </si>
  <si>
    <t>0 — Not reported</t>
  </si>
  <si>
    <t>1 — Partially reported</t>
  </si>
  <si>
    <t>2 — Fully reported</t>
  </si>
  <si>
    <t>Where to look</t>
  </si>
  <si>
    <t>I1</t>
  </si>
  <si>
    <t>Biological justification of model structure</t>
  </si>
  <si>
    <t>Model structure (state variables, mechanisms, rules) is not justified with biological evidence.</t>
  </si>
  <si>
    <t>Some components are justified by citation or data; others are asserted without support.</t>
  </si>
  <si>
    <t>All key mechanisms/rules are explicitly linked to cited experimental or clinical evidence.</t>
  </si>
  <si>
    <t>Look for: Methods/model description; tables of assumptions; references attached to each mechanism.</t>
  </si>
  <si>
    <t>I2</t>
  </si>
  <si>
    <t>Parameterisation transparency</t>
  </si>
  <si>
    <t>Parameter values not reported, or reported without source.</t>
  </si>
  <si>
    <t>Values reported, but sources/derivation given for only some parameters, or many values assumed/fitted without explanation.</t>
  </si>
  <si>
    <t>Complete parameter table with value, unit and source (literature, experiment or fitting procedure) for every parameter.</t>
  </si>
  <si>
    <t>Look for: parameter table (often supplementary); "estimated", "fitted", "assumed".</t>
  </si>
  <si>
    <t>I3</t>
  </si>
  <si>
    <t>Uncertainty quantification</t>
  </si>
  <si>
    <t>No sensitivity or uncertainty analysis.</t>
  </si>
  <si>
    <t>Local / one-at-a-time sensitivity analysis, or stochastic replicates reported without formal analysis.</t>
  </si>
  <si>
    <t>Global sensitivity analysis (e.g. Sobol, PRCC, LHS) and/or formal uncertainty quantification (e.g. Bayesian posterior, confidence bands).</t>
  </si>
  <si>
    <t>Look for: "sensitivity analysis", "PRCC", "Sobol", "Latin hypercube", "posterior", "confidence interval".</t>
  </si>
  <si>
    <t>I4</t>
  </si>
  <si>
    <t>Validation against independent data</t>
  </si>
  <si>
    <t>No comparison with data, or only with the data used for calibration.</t>
  </si>
  <si>
    <t>Qualitative comparison with independent data (e.g. visual agreement with histology or published curves).</t>
  </si>
  <si>
    <t>Model predictions tested against data not used in calibration (hold-out, separate cohort, new experiment).</t>
  </si>
  <si>
    <t>Look for: "validated", "independent", "held-out", "external cohort", "not used for fitting".</t>
  </si>
  <si>
    <t>I5</t>
  </si>
  <si>
    <t>Quantitative validation metrics</t>
  </si>
  <si>
    <t>No quantitative measure of agreement reported.</t>
  </si>
  <si>
    <t>Goodness-of-fit reported for calibration data only (e.g. R², RMSE on training data).</t>
  </si>
  <si>
    <t>Quantitative agreement metrics reported for validation data (e.g. RMSE, R², likelihood, statistical test such as PCF comparison).</t>
  </si>
  <si>
    <t>Look for: R², RMSE, MAE, AIC/BIC, p-values or statistical tests comparing model and data.</t>
  </si>
  <si>
    <t>I6</t>
  </si>
  <si>
    <t>Code and data availability</t>
  </si>
  <si>
    <t>No code or data availability stated.</t>
  </si>
  <si>
    <t>Available "on request", or code described but not shared, or only partial materials shared.</t>
  </si>
  <si>
    <t>Code (and input data where applicable) in a public repository (GitHub, Zenodo, etc.) or full supplementary code.</t>
  </si>
  <si>
    <t>Look for: "Code availability", "Data availability", GitHub/Zenodo/OSF links.</t>
  </si>
  <si>
    <t>Decision rules applied consistently across studies:</t>
  </si>
  <si>
    <t>I2 = 2 requires a source (literature, experiment or fitting) for every parameter; tables in which several values are marked as assumed score 1.</t>
  </si>
  <si>
    <t>I3: one-at-a-time sensitivity analysis, parameter sweeps, stochastic replicates and profile likelihoods score 1; variance-based or sampling-based global methods, or confidence intervals from formal uncertainty quantification, score 2.</t>
  </si>
  <si>
    <t>I4: comparison with another model, or with the data used for calibration, scores 0; agreement of conclusions with the literature without a data comparison scores 0; qualitative comparison with independent data scores 1; prediction tested on held-out patients, arms, cycles or new experiments scores 2.</t>
  </si>
  <si>
    <t>I6: data printed in the article or a repository whose contents could not be confirmed score 1; a public repository holding the model code scores 2.</t>
  </si>
  <si>
    <t>Table S3a. Full-text eligibility decisions for the 70 reports sought for retrieval</t>
  </si>
  <si>
    <t>Reports classified as ODE, PDE, agent-based or hybrid models at the classification stage. Model type is as confirmed from the full text; “Ref.” is the reference number in the article.</t>
  </si>
  <si>
    <t>ID</t>
  </si>
  <si>
    <t>First author</t>
  </si>
  <si>
    <t>Year</t>
  </si>
  <si>
    <t>Title</t>
  </si>
  <si>
    <t>Journal</t>
  </si>
  <si>
    <t>DOI</t>
  </si>
  <si>
    <t>Decision</t>
  </si>
  <si>
    <t>Reason for exclusion / not retrieved</t>
  </si>
  <si>
    <t>Model type (full text)</t>
  </si>
  <si>
    <t>Cluster</t>
  </si>
  <si>
    <t>Ref.</t>
  </si>
  <si>
    <t>M01</t>
  </si>
  <si>
    <t>Casarin S</t>
  </si>
  <si>
    <t>An agent-based model of prostate Cancer bone metastasis progression and response to Radium223</t>
  </si>
  <si>
    <t>BMC Cancer</t>
  </si>
  <si>
    <t>10.1186/s12885-020-07084-w</t>
  </si>
  <si>
    <t>Included</t>
  </si>
  <si>
    <t>ABM</t>
  </si>
  <si>
    <t>Bone metastasis and bone microenvironment</t>
  </si>
  <si>
    <t>M02</t>
  </si>
  <si>
    <t>El-Kenawi A</t>
  </si>
  <si>
    <t>Acidity promotes tumour progression by altering macrophage phenotype in prostate cancer</t>
  </si>
  <si>
    <t>Br J Cancer</t>
  </si>
  <si>
    <t>10.1038/s41416-019-0542-2</t>
  </si>
  <si>
    <t>Hybrid ABM–PDE</t>
  </si>
  <si>
    <t>Tumour microenvironment, invasion and plasticity</t>
  </si>
  <si>
    <t>M03</t>
  </si>
  <si>
    <t>Gallaher J</t>
  </si>
  <si>
    <t>Intermetastatic and Intrametastatic Heterogeneity Shapes Adaptive Therapy Cycling Dynamics</t>
  </si>
  <si>
    <t>Cancer Res</t>
  </si>
  <si>
    <t>10.1158/0008-5472.CAN-22-2558</t>
  </si>
  <si>
    <t>Treatment scheduling and resistance evolution</t>
  </si>
  <si>
    <t>M04</t>
  </si>
  <si>
    <t>Giorgadze T.</t>
  </si>
  <si>
    <t>Investigating Two Modes of Cancer-Associated Antigen Heterogeneity in an Agent-Based Model of Chimeric Antigen Receptor…</t>
  </si>
  <si>
    <t>Cells</t>
  </si>
  <si>
    <t>10.3390/cells11193165</t>
  </si>
  <si>
    <t>Excluded</t>
  </si>
  <si>
    <t>Wrong population (not prostate cancer)</t>
  </si>
  <si>
    <t>M05</t>
  </si>
  <si>
    <t>Passier M</t>
  </si>
  <si>
    <t>Exploring the Onset and Progression of Prostate Cancer through a Multicellular Agent-based Model</t>
  </si>
  <si>
    <t>Cancer Res Commun</t>
  </si>
  <si>
    <t>10.1158/2767-9764.CRC-23-0097</t>
  </si>
  <si>
    <t>M06</t>
  </si>
  <si>
    <t>Vidotto T</t>
  </si>
  <si>
    <t>PTEN-deficient prostate cancer is associated with an immunosuppressive tumor microenvironment mediated by increased expr…</t>
  </si>
  <si>
    <t>Prostate</t>
  </si>
  <si>
    <t>10.1002/pros.23808</t>
  </si>
  <si>
    <t>No mathematical model (experimental, clinical or omics study)</t>
  </si>
  <si>
    <t>—</t>
  </si>
  <si>
    <t>M07</t>
  </si>
  <si>
    <t>van Genderen MNG</t>
  </si>
  <si>
    <t>Agent-based modeling of the prostate tumor microenvironment uncovers spatial tumor growth constraints and immunomodulatory properties</t>
  </si>
  <si>
    <t>NPJ Syst Biol Appl</t>
  </si>
  <si>
    <t>10.1038/s41540-024-00344-6</t>
  </si>
  <si>
    <t>M08</t>
  </si>
  <si>
    <t>Burbanks A.</t>
  </si>
  <si>
    <t>A hybrid spatiotemporal model of PCa dynamics and insights into optimal therapeutic strategies</t>
  </si>
  <si>
    <t>Mathematical Biosciences</t>
  </si>
  <si>
    <t>10.1016/j.mbs.2022.108940</t>
  </si>
  <si>
    <t>M09</t>
  </si>
  <si>
    <t>Dzik R.</t>
  </si>
  <si>
    <t>A Mechanistic Digital Twin of uPAR-Driven Prostate Cancer Invasion Integrating ODE Signalling and Agent-Based Modelling</t>
  </si>
  <si>
    <t>Pharmaceuticals</t>
  </si>
  <si>
    <t>10.3390/ph19030395</t>
  </si>
  <si>
    <t>M10</t>
  </si>
  <si>
    <t>Guha S.</t>
  </si>
  <si>
    <t>Androgen receptor activation stabilizes a hybrid epithelial/mesenchymal phenotype in presence of Notch-Jagged signaling</t>
  </si>
  <si>
    <t>Physical Biology</t>
  </si>
  <si>
    <t>10.1088/1478-3975/ae5016</t>
  </si>
  <si>
    <t>ODE</t>
  </si>
  <si>
    <t>M11</t>
  </si>
  <si>
    <t>Hong J</t>
  </si>
  <si>
    <t>Deciphering the effects of radiopharmaceutical therapy in the tumor microenvironment of prostate cancer: an in-silico exploration with spatial transcriptomics…</t>
  </si>
  <si>
    <t>Theranostics</t>
  </si>
  <si>
    <t>10.7150/thno.99516</t>
  </si>
  <si>
    <t>PDE</t>
  </si>
  <si>
    <t>Radiopharmaceutical transport and dosimetry</t>
  </si>
  <si>
    <t>M12</t>
  </si>
  <si>
    <t>Jia D</t>
  </si>
  <si>
    <t>OVOL guides the epithelial-hybrid-mesenchymal transition</t>
  </si>
  <si>
    <t>Oncotarget</t>
  </si>
  <si>
    <t>10.18632/oncotarget.3623</t>
  </si>
  <si>
    <t>M14</t>
  </si>
  <si>
    <t>Piranfar A</t>
  </si>
  <si>
    <t>Localized radiotherapy of solid tumors using radiopharmaceutical loaded implantable system: insights from a mathematical model</t>
  </si>
  <si>
    <t>Front Oncol</t>
  </si>
  <si>
    <t>10.3389/fonc.2024.1320371</t>
  </si>
  <si>
    <t>M15</t>
  </si>
  <si>
    <t>Tavares I</t>
  </si>
  <si>
    <t>Extracellular vesicles derived-microRNAs predicting enzalutamide-resistance in 3D spheroid prostate Cancer model</t>
  </si>
  <si>
    <t>Int J Biol Macromol</t>
  </si>
  <si>
    <t>10.1016/j.ijbiomac.2024.137993</t>
  </si>
  <si>
    <t>M16</t>
  </si>
  <si>
    <t>Woo BJ</t>
  </si>
  <si>
    <t>Integrative identification of non-coding regulatory regions driving metastatic prostate cancer</t>
  </si>
  <si>
    <t>Cell Rep</t>
  </si>
  <si>
    <t>10.1016/j.celrep.2024.114764</t>
  </si>
  <si>
    <t>Statistical, empirical or machine-learning model - not mechanistic</t>
  </si>
  <si>
    <t>Statistical/ML</t>
  </si>
  <si>
    <t>M17</t>
  </si>
  <si>
    <t>Araujo A</t>
  </si>
  <si>
    <t>Quantification and optimization of standard-of-care therapy to delay the emergence of resistant bone metastatic prostate cancer</t>
  </si>
  <si>
    <t>Cancers (Basel)</t>
  </si>
  <si>
    <t>10.3390/cancers13040677</t>
  </si>
  <si>
    <t>M18</t>
  </si>
  <si>
    <t>Azorin-Vega EP</t>
  </si>
  <si>
    <t>Mathematical description of the effect of HIF inhibition on the radiobiological response of LNCaP cells</t>
  </si>
  <si>
    <t>Appl Radiat Isot</t>
  </si>
  <si>
    <t>10.1016/j.apradiso.2022.110157</t>
  </si>
  <si>
    <t>M19</t>
  </si>
  <si>
    <t>Birindelli G</t>
  </si>
  <si>
    <t>In silico study on radiobiological efficacy of Ac-225 and Lu-177 for PSMA-guided radiotherapy</t>
  </si>
  <si>
    <t>Annu Int Conf IEEE Eng Med Biol Soc</t>
  </si>
  <si>
    <t>10.1109/EMBC46164.2021.9630297</t>
  </si>
  <si>
    <t>Not retrieved</t>
  </si>
  <si>
    <t>Full text not obtainable through institutional access, open-access sources or author request</t>
  </si>
  <si>
    <t>M20</t>
  </si>
  <si>
    <t>Boucher J</t>
  </si>
  <si>
    <t>Cx43 Present at the Leading Edge Membrane Governs Promigratory Effects of Osteoblast-Conditioned Medium on Human Prostat…</t>
  </si>
  <si>
    <t>10.3390/cancers12103013</t>
  </si>
  <si>
    <t>M21</t>
  </si>
  <si>
    <t>Friedman A</t>
  </si>
  <si>
    <t>A partial differential equation model of metastasized prostatic cancer</t>
  </si>
  <si>
    <t>Math Biosci Eng</t>
  </si>
  <si>
    <t>10.3934/mbe.2013.10.591</t>
  </si>
  <si>
    <t>M22</t>
  </si>
  <si>
    <t>Hongo H</t>
  </si>
  <si>
    <t>G-protein signaling of oxytocin receptor as a potential target for cabazitaxel-resistant prostate cancer</t>
  </si>
  <si>
    <t>PNAS Nexus</t>
  </si>
  <si>
    <t>10.1093/pnasnexus/pgae002</t>
  </si>
  <si>
    <t>M23</t>
  </si>
  <si>
    <t>Hwang KW</t>
  </si>
  <si>
    <t>Unveiling the Molecular Landscape of FOXA1 Mutant Prostate Cancer: Insights and Prospects for Targeted Therapeutic Strat…</t>
  </si>
  <si>
    <t>Int J Mol Sci</t>
  </si>
  <si>
    <t>10.3390/ijms242115823</t>
  </si>
  <si>
    <t>M24</t>
  </si>
  <si>
    <t>Luddy K.</t>
  </si>
  <si>
    <t>Radiopharmaceutical Therapy and Immunotherapy Combinations Utilizing Cancer Evolution and Computational Modeling in Meta…</t>
  </si>
  <si>
    <t>PET Clinics</t>
  </si>
  <si>
    <t>10.1016/j.cpet.2025.08.006</t>
  </si>
  <si>
    <t>Review or commentary - not a primary modelling study</t>
  </si>
  <si>
    <t>M25</t>
  </si>
  <si>
    <t>Paczkowski M</t>
  </si>
  <si>
    <t>Reciprocal interactions between tumour cell populations enhance growth and reduce radiation sensitivity in prostate cancer</t>
  </si>
  <si>
    <t>Commun Biol</t>
  </si>
  <si>
    <t>10.1038/s42003-020-01529-5</t>
  </si>
  <si>
    <t>M26</t>
  </si>
  <si>
    <t>A Comparative Analysis of Alpha and Beta Therapy in Prostate Cancer Using a 3D Image-Based Spatiotemporal Model</t>
  </si>
  <si>
    <t>Ann Biomed Eng</t>
  </si>
  <si>
    <t>10.1007/s10439-024-03650-6</t>
  </si>
  <si>
    <t>M27</t>
  </si>
  <si>
    <t>Spatiotemporal modeling of radiopharmaceutical transport in solid tumors: application to 177Lu-PSMA therapy of prostate cancer</t>
  </si>
  <si>
    <t>Comput Methods Programs Biomed</t>
  </si>
  <si>
    <t>10.1016/j.cmpb.2023.108004</t>
  </si>
  <si>
    <t>M28</t>
  </si>
  <si>
    <t>Siewe N</t>
  </si>
  <si>
    <t>Combination therapy for mCRPC with immune checkpoint inhibitors, ADT and vaccine: A mathematical model</t>
  </si>
  <si>
    <t>PLoS One</t>
  </si>
  <si>
    <t>10.1371/journal.pone.0262453</t>
  </si>
  <si>
    <t>Tumour-immune dynamics and immunotherapy</t>
  </si>
  <si>
    <t>M29</t>
  </si>
  <si>
    <t>Yu L</t>
  </si>
  <si>
    <t>Modulation of CXC-motif chemokine receptor 7, but not 4, expression is related to migration of the human prostate cancer…</t>
  </si>
  <si>
    <t>Inflamm Res</t>
  </si>
  <si>
    <t>10.1007/s00011-019-01305-0</t>
  </si>
  <si>
    <t>M30</t>
  </si>
  <si>
    <t>Zhang W</t>
  </si>
  <si>
    <t>Deciphering the Increased Prevalence of TP53 Mutations in Metastatic Prostate Cancer</t>
  </si>
  <si>
    <t>Cancer Inform</t>
  </si>
  <si>
    <t>10.1177/11769351221087046</t>
  </si>
  <si>
    <t>M31</t>
  </si>
  <si>
    <t>Zhou X</t>
  </si>
  <si>
    <t>Inhibiting HnRNP L-mediated alternative splicing of EIF4G1 counteracts immune checkpoint blockade resistance in Castration-resistant prostate Cancer…</t>
  </si>
  <si>
    <t>Neoplasia</t>
  </si>
  <si>
    <t>10.1016/j.neo.2024.101109</t>
  </si>
  <si>
    <t>M32</t>
  </si>
  <si>
    <t>Size matters: metastatic cluster size and stromal recruitment in the establishment of successful prostate cancer to bone metastases</t>
  </si>
  <si>
    <t>Bull Math Biol</t>
  </si>
  <si>
    <t>10.1007/s11538-018-0416-4</t>
  </si>
  <si>
    <t>M33</t>
  </si>
  <si>
    <t>An integrated computational model of the bone microenvironment in bone-metastatic prostate cancer</t>
  </si>
  <si>
    <t>10.1158/0008-5472.CAN-13-2652</t>
  </si>
  <si>
    <t>M34</t>
  </si>
  <si>
    <t>Bair A</t>
  </si>
  <si>
    <t>In Silico Design of Novel RGS2-G(alpha-q) Interaction Inhibitors with Anticancer Activity</t>
  </si>
  <si>
    <t>J Chem Inf Model</t>
  </si>
  <si>
    <t>10.1021/acs.jcim.4c00932</t>
  </si>
  <si>
    <t>Molecular or drug-design model - not tumour dynamics</t>
  </si>
  <si>
    <t>M35</t>
  </si>
  <si>
    <t>Bektemessov Z.</t>
  </si>
  <si>
    <t>On a data-driven mathematical model for prostate cancer bone metastasis</t>
  </si>
  <si>
    <t>AIMS Mathematics</t>
  </si>
  <si>
    <t>10.3934/math.20241656</t>
  </si>
  <si>
    <t>M36</t>
  </si>
  <si>
    <t>Bender RJ</t>
  </si>
  <si>
    <t>Dysregulation of the vascular endothelial growth factor and semaphorin ligand-receptor families in prostate cancer metastasis</t>
  </si>
  <si>
    <t>BMC Syst Biol</t>
  </si>
  <si>
    <t>10.1186/s12918-015-0201-z</t>
  </si>
  <si>
    <t>M37</t>
  </si>
  <si>
    <t>Bhardwaj R</t>
  </si>
  <si>
    <t>Engineered Recombinant EGFP-Azurin Theranostic Nanosystem for Targeted Therapy of Prostate Cancer</t>
  </si>
  <si>
    <t>Mol Pharm</t>
  </si>
  <si>
    <t>10.1021/acs.molpharmaceut.3c00387</t>
  </si>
  <si>
    <t>M38</t>
  </si>
  <si>
    <t>Is hypoxia a factor influencing PSMA-directed radioligand therapy?—An in silico study on the role of chronic hypoxia in prostate cancer</t>
  </si>
  <si>
    <t>10.3390/cancers13143429</t>
  </si>
  <si>
    <t>M39</t>
  </si>
  <si>
    <t>Brady-Nicholls R</t>
  </si>
  <si>
    <t>Predicting patient-specific response to adaptive therapy in metastatic castration-resistant prostate cancer using prostate-specific antigen dynamics</t>
  </si>
  <si>
    <t>10.1016/j.neo.2021.06.013</t>
  </si>
  <si>
    <t>M40</t>
  </si>
  <si>
    <t>Prostate-specific antigen dynamics predict individual responses to intermittent androgen deprivation</t>
  </si>
  <si>
    <t>Nat Commun</t>
  </si>
  <si>
    <t>10.1038/s41467-020-15424-4</t>
  </si>
  <si>
    <t>M41</t>
  </si>
  <si>
    <t>Buenzli PR</t>
  </si>
  <si>
    <t>Modelling the anabolic response of bone using a cell population model</t>
  </si>
  <si>
    <t>J Theor Biol</t>
  </si>
  <si>
    <t>10.1016/j.jtbi.2012.04.019</t>
  </si>
  <si>
    <t>M42</t>
  </si>
  <si>
    <t>Carrot A</t>
  </si>
  <si>
    <t>Modeled early longitudinal PSA kinetics prognostic value in rising PSA prostate cancer patients after local therapy treated with ADT +/− docetaxel</t>
  </si>
  <si>
    <t>10.3390/cancers14030815</t>
  </si>
  <si>
    <t>M43</t>
  </si>
  <si>
    <t>Chen M</t>
  </si>
  <si>
    <t>An integrated ceRNA network identifies miR-375 as an upregulated miRNA playing a tumor suppressive role in aggressive pr…</t>
  </si>
  <si>
    <t>Oncogene</t>
  </si>
  <si>
    <t>10.1038/s41388-024-03011-6</t>
  </si>
  <si>
    <t>M44</t>
  </si>
  <si>
    <t>Ciummo S.L.</t>
  </si>
  <si>
    <t>Interleukin-30 subverts prostate cancer-endothelium crosstalk by fostering angiogenesis and activating immunoregulatory…</t>
  </si>
  <si>
    <t>Journal of Experimental and Clinical Cancer Research</t>
  </si>
  <si>
    <t>10.1186/s13046-023-02902-y</t>
  </si>
  <si>
    <t>M45</t>
  </si>
  <si>
    <t>Coletti R</t>
  </si>
  <si>
    <t>A model-based framework to identify optimal administration protocols for immunotherapies in castration-resistance prostate cancer</t>
  </si>
  <si>
    <t>10.3390/cancers14010135</t>
  </si>
  <si>
    <t>M46</t>
  </si>
  <si>
    <t>Dondossola E</t>
  </si>
  <si>
    <t>Radium 223-Mediated Zonal Cytotoxicity of Prostate Cancer in Bone</t>
  </si>
  <si>
    <t>J Natl Cancer Inst</t>
  </si>
  <si>
    <t>10.1093/jnci/djz007</t>
  </si>
  <si>
    <t>M47</t>
  </si>
  <si>
    <t>Edelman E.J.</t>
  </si>
  <si>
    <t>Modeling cancer progression via pathway dependencies</t>
  </si>
  <si>
    <t>PLoS Computational Biology</t>
  </si>
  <si>
    <t>10.1371/journal.pcbi.0040028</t>
  </si>
  <si>
    <t>M48</t>
  </si>
  <si>
    <t>Elishmereni M</t>
  </si>
  <si>
    <t>Predicting time to castration resistance in hormone sensitive prostate cancer by a personalization algorithm based on a…</t>
  </si>
  <si>
    <t>10.1002/pros.23099</t>
  </si>
  <si>
    <t>M49</t>
  </si>
  <si>
    <t>Farhat A</t>
  </si>
  <si>
    <t>An integrative model of prostate cancer interaction with the bone microenvironment</t>
  </si>
  <si>
    <t>Math Biosci</t>
  </si>
  <si>
    <t>10.1016/j.mbs.2017.09.005</t>
  </si>
  <si>
    <t>M50</t>
  </si>
  <si>
    <t>Improving treatment strategies for patients with metastatic castrate resistant prostate cancer through personalized computational modeling</t>
  </si>
  <si>
    <t>Clin Exp Metastasis</t>
  </si>
  <si>
    <t>10.1007/s10585-014-9674-1</t>
  </si>
  <si>
    <t>M51</t>
  </si>
  <si>
    <t>Hanin L</t>
  </si>
  <si>
    <t>Reconstruction of the natural history of metastatic cancer and assessment of the effects of surgery: Gompertzian growth of the primary tumor</t>
  </si>
  <si>
    <t>10.1016/j.mbs.2013.10.010</t>
  </si>
  <si>
    <t>Stochastic</t>
  </si>
  <si>
    <t>M52</t>
  </si>
  <si>
    <t>Effects of surgery and chemotherapy on metastatic progression of prostate cancer: evidence from the natural history of the disease reconstructed through mathematical modeling</t>
  </si>
  <si>
    <t>10.3390/cancers3033632</t>
  </si>
  <si>
    <t>M53</t>
  </si>
  <si>
    <t>Helena J.</t>
  </si>
  <si>
    <t>Intracellular signaling responses induced by radiation within an in vitro bone metastasis model after pre-treatment with…</t>
  </si>
  <si>
    <t>10.3390/cells10082105</t>
  </si>
  <si>
    <t>M54</t>
  </si>
  <si>
    <t>Jacobs J.J.</t>
  </si>
  <si>
    <t>Mathematical model of perineural tumor spread: a pilot study</t>
  </si>
  <si>
    <t>Acta Neurochirurgica</t>
  </si>
  <si>
    <t>10.1007/s00701-017-3423-6</t>
  </si>
  <si>
    <t>M55</t>
  </si>
  <si>
    <t>Jain HV</t>
  </si>
  <si>
    <t>Mathematical modeling of prostate cancer progression in response to androgen ablation therapy</t>
  </si>
  <si>
    <t>Proc Natl Acad Sci U S A</t>
  </si>
  <si>
    <t>10.1073/pnas.1115750108</t>
  </si>
  <si>
    <t>M56</t>
  </si>
  <si>
    <t>Ji B</t>
  </si>
  <si>
    <t>Mathematical modelling of the role of Endo180 network in the development of metastatic bone disease in prostate cancer</t>
  </si>
  <si>
    <t>Comput Biol Med</t>
  </si>
  <si>
    <t>10.1016/j.compbiomed.2020.103619</t>
  </si>
  <si>
    <t>M57</t>
  </si>
  <si>
    <t>Konski A.</t>
  </si>
  <si>
    <t>Continuing evidence for poorer treatment outcomes for single male patients: Retreatment data from RTOG 97-14</t>
  </si>
  <si>
    <t>International Journal of Radiation Oncology Biology Physics</t>
  </si>
  <si>
    <t>10.1016/j.ijrobp.2006.04.005</t>
  </si>
  <si>
    <t>M58</t>
  </si>
  <si>
    <t>Loessner D.</t>
  </si>
  <si>
    <t>A multiscale road map of cancer spheroids-incorporating experimental and mathematical modelling to understand cancer pro…</t>
  </si>
  <si>
    <t>Journal of Cell Science</t>
  </si>
  <si>
    <t>10.1242/jcs.123836</t>
  </si>
  <si>
    <t>M59</t>
  </si>
  <si>
    <t>Peng H.</t>
  </si>
  <si>
    <t>Prediction of treatment efficacy for prostate cancer using a mathematical model</t>
  </si>
  <si>
    <t>Scientific Reports</t>
  </si>
  <si>
    <t>10.1038/srep21599</t>
  </si>
  <si>
    <t>M60</t>
  </si>
  <si>
    <t>Reckell T</t>
  </si>
  <si>
    <t>Modeling the synergistic properties of drugs in hormonal treatment for prostate cancer</t>
  </si>
  <si>
    <t>10.1016/j.jtbi.2020.110570</t>
  </si>
  <si>
    <t>M61</t>
  </si>
  <si>
    <t>Ryser MD</t>
  </si>
  <si>
    <t>Osteoprotegerin in bone metastases: mathematical solution to the puzzle</t>
  </si>
  <si>
    <t>PLoS Comput Biol</t>
  </si>
  <si>
    <t>10.1371/journal.pcbi.1002703</t>
  </si>
  <si>
    <t>M62</t>
  </si>
  <si>
    <t>Santra S.</t>
  </si>
  <si>
    <t>Machine Learning and Fuzzy Logic Enhanced Computational Model for Cancer Detection with Metastasis Risk Reduction</t>
  </si>
  <si>
    <t>Big Data and Computing Visions</t>
  </si>
  <si>
    <t>10.22105/bdcv.2025.530317.1272</t>
  </si>
  <si>
    <t>M63</t>
  </si>
  <si>
    <t>Shin SH</t>
  </si>
  <si>
    <t>Loss of EGR3 is an independent risk factor for metastatic progression in prostate cancer</t>
  </si>
  <si>
    <t>10.1038/s41388-020-01418-5</t>
  </si>
  <si>
    <t>M64</t>
  </si>
  <si>
    <t>Silva J</t>
  </si>
  <si>
    <t>Plasmatic MicroRNAs and Treatment Outcomes of Patients with Metastatic Castration-Resistant Prostate Cancer: A Hospital-…</t>
  </si>
  <si>
    <t>10.3390/ijms24109101</t>
  </si>
  <si>
    <t>M65</t>
  </si>
  <si>
    <t>Tripathi S</t>
  </si>
  <si>
    <t>A mechanism for epithelial-mesenchymal heterogeneity in a population of cancer cells</t>
  </si>
  <si>
    <t>10.1371/journal.pcbi.1007619</t>
  </si>
  <si>
    <t>M66</t>
  </si>
  <si>
    <t>Turk M</t>
  </si>
  <si>
    <t>Computational modelling of resistance and associated treatment response heterogeneity in metastatic cancers</t>
  </si>
  <si>
    <t>Phys Med Biol</t>
  </si>
  <si>
    <t>10.1088/1361-6560/ab0924</t>
  </si>
  <si>
    <t>M67</t>
  </si>
  <si>
    <t>Tward JD</t>
  </si>
  <si>
    <t>Using the Cell-Cycle Risk Score to Predict the Benefit of Androgen-Deprivation Therapy Added to Radiation Therapy in Pat…</t>
  </si>
  <si>
    <t>JCO Precis Oncol</t>
  </si>
  <si>
    <t>10.1200/PO.23.00722</t>
  </si>
  <si>
    <t>M68</t>
  </si>
  <si>
    <t>Wang S</t>
  </si>
  <si>
    <t>Long non-coding RNA LINC01207 promotes prostate cancer progression by downregulating microRNA-1972 and upregulating LIM…</t>
  </si>
  <si>
    <t>IUBMB Life</t>
  </si>
  <si>
    <t>10.1002/iub.2327</t>
  </si>
  <si>
    <t>M69</t>
  </si>
  <si>
    <t>West J</t>
  </si>
  <si>
    <t>Capitalizing on competition: an evolutionary model of competitive release in metastatic castration resistant prostate cancer treatment</t>
  </si>
  <si>
    <t>10.1016/j.jtbi.2018.07.028</t>
  </si>
  <si>
    <t>M70</t>
  </si>
  <si>
    <t>West JB</t>
  </si>
  <si>
    <t>Multidrug cancer therapy in metastatic castrate-resistant prostate cancer: an evolution-based strategy</t>
  </si>
  <si>
    <t>Clin Cancer Res</t>
  </si>
  <si>
    <t>10.1158/1078-0432.CCR-19-0006</t>
  </si>
  <si>
    <t>M71</t>
  </si>
  <si>
    <t>Zhang J</t>
  </si>
  <si>
    <t>Evolution-based mathematical models significantly prolong response to abiraterone in metastatic castrate-resistant prostate cancer and identify strategies to further improve outcomes</t>
  </si>
  <si>
    <t>Elife</t>
  </si>
  <si>
    <t>10.7554/eLife.76284</t>
  </si>
  <si>
    <t>Summary</t>
  </si>
  <si>
    <t>Reports sought</t>
  </si>
  <si>
    <t>Assessed in full text</t>
  </si>
  <si>
    <t>Table S3b. Item-level MMQC scores and supporting evidence for the 41 included studies</t>
  </si>
  <si>
    <t>Items: I1 biological justification; I2 parameterisation transparency; I3 uncertainty quantification; I4 validation against independent data; I5 quantitative validation metrics; I6 code and data availability (anchors in Table S2). Evidence: verbatim quotation – location (bold); “|” separates passages.</t>
  </si>
  <si>
    <t>Model type</t>
  </si>
  <si>
    <t>I1 evidence</t>
  </si>
  <si>
    <t>I2 evidence</t>
  </si>
  <si>
    <t>I3 evidence</t>
  </si>
  <si>
    <t>I4 evidence</t>
  </si>
  <si>
    <t>I5 evidence</t>
  </si>
  <si>
    <t>I6 evidence</t>
  </si>
  <si>
    <t>Total</t>
  </si>
  <si>
    <t>Tier</t>
  </si>
  <si>
    <r>
      <rPr>
        <sz val="9"/>
        <rFont val="Arial"/>
        <family val="2"/>
        <charset val="1"/>
      </rPr>
      <t xml:space="preserve">A small population of androgen-independent stem cells within the prostate epithelium divide to give rise to amplifying cells ... A pre-clinical study by Bruchovsky et al. showed ADT selects for murine PCaSCs [20]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PCaSCs divide with rate lambda to produce either a PCaSC and a non-stem PCa cell with probability 1 - ps (asymmetric division) or two PCaSCs at probability ps (symmetric division) with negative feedback from differentiated cells [16] - </t>
    </r>
    <r>
      <rPr>
        <b/>
        <sz val="9"/>
        <rFont val="Arial"/>
        <family val="2"/>
        <charset val="1"/>
      </rPr>
      <t>Methods, Mathematical model of IADT response</t>
    </r>
  </si>
  <si>
    <r>
      <rPr>
        <sz val="9"/>
        <rFont val="Arial"/>
        <family val="2"/>
        <charset val="1"/>
      </rPr>
      <t xml:space="preserve">Thus, we set uninhibited PCaSCs to divide once per day at lambda = ln(2) - </t>
    </r>
    <r>
      <rPr>
        <b/>
        <sz val="9"/>
        <rFont val="Arial"/>
        <family val="2"/>
        <charset val="1"/>
      </rPr>
      <t>Methods, Mathematical model training and validation</t>
    </r>
    <r>
      <rPr>
        <sz val="9"/>
        <rFont val="Arial"/>
        <family val="2"/>
        <charset val="1"/>
      </rPr>
      <t xml:space="preserve"> </t>
    </r>
    <r>
      <rPr>
        <b/>
        <sz val="9"/>
        <rFont val="Arial"/>
        <family val="2"/>
        <charset val="1"/>
      </rPr>
      <t xml:space="preserve">| </t>
    </r>
    <r>
      <rPr>
        <sz val="9"/>
        <rFont val="Arial"/>
        <family val="2"/>
        <charset val="1"/>
      </rPr>
      <t xml:space="preserve">We used particle swarming optimization (PSO) [46] to identify patient-specific model parameters that minimized the least squares error between model simulation and patient data - </t>
    </r>
    <r>
      <rPr>
        <b/>
        <sz val="9"/>
        <rFont val="Arial"/>
        <family val="2"/>
        <charset val="1"/>
      </rPr>
      <t>Methods, Mathematical model training and validation</t>
    </r>
  </si>
  <si>
    <r>
      <rPr>
        <sz val="9"/>
        <rFont val="Arial"/>
        <family val="2"/>
        <charset val="1"/>
      </rPr>
      <t xml:space="preserve">Sensitivity analysis [44] was done to assess the variation in the model output in response to small perturbations in the model parameters - </t>
    </r>
    <r>
      <rPr>
        <b/>
        <sz val="9"/>
        <rFont val="Arial"/>
        <family val="2"/>
        <charset val="1"/>
      </rPr>
      <t>Methods, Mathematical model training and validation</t>
    </r>
    <r>
      <rPr>
        <sz val="9"/>
        <rFont val="Arial"/>
        <family val="2"/>
        <charset val="1"/>
      </rPr>
      <t xml:space="preserve"> </t>
    </r>
    <r>
      <rPr>
        <b/>
        <sz val="9"/>
        <rFont val="Arial"/>
        <family val="2"/>
        <charset val="1"/>
      </rPr>
      <t xml:space="preserve">| </t>
    </r>
    <r>
      <rPr>
        <sz val="9"/>
        <rFont val="Arial"/>
        <family val="2"/>
        <charset val="1"/>
      </rPr>
      <t xml:space="preserve">we utilized a bootstrapping leave-one-out design and performed the optimization and forecast analysis for each of the 70 patients individually - </t>
    </r>
    <r>
      <rPr>
        <b/>
        <sz val="9"/>
        <rFont val="Arial"/>
        <family val="2"/>
        <charset val="1"/>
      </rPr>
      <t>Results, PCaSC dynamics predict subsequent IADT cycle responses</t>
    </r>
  </si>
  <si>
    <r>
      <rPr>
        <sz val="9"/>
        <rFont val="Arial"/>
        <family val="2"/>
        <charset val="1"/>
      </rPr>
      <t xml:space="preserve">The model's predictive power to accurately forecast individual patients' responses to IADT cycles is evaluated in an independent patient cohort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To calibrate and assess the accuracy of our model, the data was divided into training (n = 35 ...) and testing (n = 35 ...) cohorts - </t>
    </r>
    <r>
      <rPr>
        <b/>
        <sz val="9"/>
        <rFont val="Arial"/>
        <family val="2"/>
        <charset val="1"/>
      </rPr>
      <t>Methods, IADT clinical trial data</t>
    </r>
  </si>
  <si>
    <r>
      <rPr>
        <sz val="9"/>
        <rFont val="Arial"/>
        <family val="2"/>
        <charset val="1"/>
      </rPr>
      <t xml:space="preserve">Simulated vs. measured PSA. Linear regression obtains an R2 of 0.63 - </t>
    </r>
    <r>
      <rPr>
        <b/>
        <sz val="9"/>
        <rFont val="Arial"/>
        <family val="2"/>
        <charset val="1"/>
      </rPr>
      <t>Fig. 1 legend (testing cohort)</t>
    </r>
    <r>
      <rPr>
        <sz val="9"/>
        <rFont val="Arial"/>
        <family val="2"/>
        <charset val="1"/>
      </rPr>
      <t xml:space="preserve"> </t>
    </r>
    <r>
      <rPr>
        <b/>
        <sz val="9"/>
        <rFont val="Arial"/>
        <family val="2"/>
        <charset val="1"/>
      </rPr>
      <t xml:space="preserve">| </t>
    </r>
    <r>
      <rPr>
        <sz val="9"/>
        <rFont val="Arial"/>
        <family val="2"/>
        <charset val="1"/>
      </rPr>
      <t xml:space="preserve">yielding a sensitivity of 73%, specificity of 91%, and overall accuracy of 89% (mean AUC = 0.80 +/- 0.06) - </t>
    </r>
    <r>
      <rPr>
        <b/>
        <sz val="9"/>
        <rFont val="Arial"/>
        <family val="2"/>
        <charset val="1"/>
      </rPr>
      <t>Results, PCaSC dynamics predict subsequent IADT cycle responses</t>
    </r>
  </si>
  <si>
    <r>
      <rPr>
        <sz val="9"/>
        <rFont val="Arial"/>
        <family val="2"/>
        <charset val="1"/>
      </rPr>
      <t xml:space="preserve">Code supporting the findings of this study are available at https://github.com/reneebrady/IADT_PCaSC - </t>
    </r>
    <r>
      <rPr>
        <b/>
        <sz val="9"/>
        <rFont val="Arial"/>
        <family val="2"/>
        <charset val="1"/>
      </rPr>
      <t>Code availability</t>
    </r>
    <r>
      <rPr>
        <sz val="9"/>
        <rFont val="Arial"/>
        <family val="2"/>
        <charset val="1"/>
      </rPr>
      <t xml:space="preserve"> </t>
    </r>
    <r>
      <rPr>
        <b/>
        <sz val="9"/>
        <rFont val="Arial"/>
        <family val="2"/>
        <charset val="1"/>
      </rPr>
      <t xml:space="preserve">| </t>
    </r>
    <r>
      <rPr>
        <sz val="9"/>
        <rFont val="Arial"/>
        <family val="2"/>
        <charset val="1"/>
      </rPr>
      <t xml:space="preserve">The clinical data used to conduct this study are available in a public repository at http://www.nicholasbruchovsky.com/clinicalResearch.html - </t>
    </r>
    <r>
      <rPr>
        <b/>
        <sz val="9"/>
        <rFont val="Arial"/>
        <family val="2"/>
        <charset val="1"/>
      </rPr>
      <t>Data availability</t>
    </r>
  </si>
  <si>
    <t>High</t>
  </si>
  <si>
    <r>
      <rPr>
        <sz val="9"/>
        <rFont val="Arial"/>
        <family val="2"/>
        <charset val="1"/>
      </rPr>
      <t xml:space="preserve">We developed a simple quantitative model of prostate-specific antigen (PSA) dynamics to evaluate prostate cancer (PCa) stem cell enrichment as a plausible driver of AA treatment resistance - </t>
    </r>
    <r>
      <rPr>
        <b/>
        <sz val="9"/>
        <rFont val="Arial"/>
        <family val="2"/>
        <charset val="1"/>
      </rPr>
      <t>Abstract</t>
    </r>
    <r>
      <rPr>
        <sz val="9"/>
        <rFont val="Arial"/>
        <family val="2"/>
        <charset val="1"/>
      </rPr>
      <t xml:space="preserve"> </t>
    </r>
    <r>
      <rPr>
        <b/>
        <sz val="9"/>
        <rFont val="Arial"/>
        <family val="2"/>
        <charset val="1"/>
      </rPr>
      <t xml:space="preserve">| </t>
    </r>
    <r>
      <rPr>
        <sz val="9"/>
        <rFont val="Arial"/>
        <family val="2"/>
        <charset val="1"/>
      </rPr>
      <t xml:space="preserve">The model incorporated PCa stem cells, non-stem PCa cells and PSA dynamics during adaptive therapy - </t>
    </r>
    <r>
      <rPr>
        <b/>
        <sz val="9"/>
        <rFont val="Arial"/>
        <family val="2"/>
        <charset val="1"/>
      </rPr>
      <t>Abstract</t>
    </r>
  </si>
  <si>
    <r>
      <rPr>
        <sz val="9"/>
        <rFont val="Arial"/>
        <family val="2"/>
        <charset val="1"/>
      </rPr>
      <t xml:space="preserve">We deployed a Type 1b bootstrap internal validation leave-one-out analysis [27] to determine the uniform values for rho and phi, while allowing ps and alpha to be patient-specific - </t>
    </r>
    <r>
      <rPr>
        <b/>
        <sz val="9"/>
        <rFont val="Arial"/>
        <family val="2"/>
        <charset val="1"/>
      </rPr>
      <t>Model calibration and validation</t>
    </r>
    <r>
      <rPr>
        <sz val="9"/>
        <rFont val="Arial"/>
        <family val="2"/>
        <charset val="1"/>
      </rPr>
      <t xml:space="preserve"> </t>
    </r>
    <r>
      <rPr>
        <b/>
        <sz val="9"/>
        <rFont val="Arial"/>
        <family val="2"/>
        <charset val="1"/>
      </rPr>
      <t xml:space="preserve">| </t>
    </r>
    <r>
      <rPr>
        <sz val="9"/>
        <rFont val="Arial"/>
        <family val="2"/>
        <charset val="1"/>
      </rPr>
      <t xml:space="preserve">The model was fit over the first treatment cycle using the rho and phi values obtained from the training set - </t>
    </r>
    <r>
      <rPr>
        <b/>
        <sz val="9"/>
        <rFont val="Arial"/>
        <family val="2"/>
        <charset val="1"/>
      </rPr>
      <t>Early treatment dynamics can predict subsequent response</t>
    </r>
  </si>
  <si>
    <r>
      <rPr>
        <sz val="9"/>
        <rFont val="Arial"/>
        <family val="2"/>
        <charset val="1"/>
      </rPr>
      <t xml:space="preserve">As ps and alpha are exponentially related [1], we sampled from the 95% confidence interval around the exponential curve relating ps and alpha (Fig. 2C) to find 100 values for alpha i+1 - </t>
    </r>
    <r>
      <rPr>
        <b/>
        <sz val="9"/>
        <rFont val="Arial"/>
        <family val="2"/>
        <charset val="1"/>
      </rPr>
      <t>Treatment response prediction</t>
    </r>
  </si>
  <si>
    <r>
      <rPr>
        <sz val="9"/>
        <rFont val="Arial"/>
        <family val="2"/>
        <charset val="1"/>
      </rPr>
      <t xml:space="preserve">We calibrated and validated the model against longitudinal PSA data from 16 mCRPC patients receiving adaptive AA in a proof-of-principle prospective pilot trial (NCT02415621)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We then validated the model using rho j and phi j to determine the patient-specific ps and alpha for patient j - </t>
    </r>
    <r>
      <rPr>
        <b/>
        <sz val="9"/>
        <rFont val="Arial"/>
        <family val="2"/>
        <charset val="1"/>
      </rPr>
      <t>Model calibration and validation</t>
    </r>
  </si>
  <si>
    <r>
      <rPr>
        <sz val="9"/>
        <rFont val="Arial"/>
        <family val="2"/>
        <charset val="1"/>
      </rPr>
      <t xml:space="preserve">Evolutionary dynamics from individual treatment cycles combined with metastatic burden measurements predicted patient response with 81% accuracy (specificity=92%, sensitivity=50%) - </t>
    </r>
    <r>
      <rPr>
        <b/>
        <sz val="9"/>
        <rFont val="Arial"/>
        <family val="2"/>
        <charset val="1"/>
      </rPr>
      <t>Abstract</t>
    </r>
  </si>
  <si>
    <r>
      <rPr>
        <sz val="9"/>
        <rFont val="Arial"/>
        <family val="2"/>
        <charset val="1"/>
      </rPr>
      <t xml:space="preserve">Not reported - no code availability statement found - </t>
    </r>
    <r>
      <rPr>
        <b/>
        <sz val="9"/>
        <rFont val="Arial"/>
        <family val="2"/>
        <charset val="1"/>
      </rPr>
      <t>checked candidate passages and abstract; full text not retrieved</t>
    </r>
  </si>
  <si>
    <r>
      <rPr>
        <sz val="9"/>
        <rFont val="Arial"/>
        <family val="2"/>
        <charset val="1"/>
      </rPr>
      <t xml:space="preserve">Clinical evidence suggests that LEU takes effect only ... LEU is clinically proven to restrict LH production - </t>
    </r>
    <r>
      <rPr>
        <b/>
        <sz val="9"/>
        <rFont val="Arial"/>
        <family val="2"/>
        <charset val="1"/>
      </rPr>
      <t>1. Introduction</t>
    </r>
    <r>
      <rPr>
        <sz val="9"/>
        <rFont val="Arial"/>
        <family val="2"/>
        <charset val="1"/>
      </rPr>
      <t xml:space="preserve"> </t>
    </r>
    <r>
      <rPr>
        <b/>
        <sz val="9"/>
        <rFont val="Arial"/>
        <family val="2"/>
        <charset val="1"/>
      </rPr>
      <t xml:space="preserve">| </t>
    </r>
    <r>
      <rPr>
        <sz val="9"/>
        <rFont val="Arial"/>
        <family val="2"/>
        <charset val="1"/>
      </rPr>
      <t xml:space="preserve">Because androgen-producing cells in the testes adjust their sensitivity to the level of hormonal stimulus, we assume that LEU exhibits a clinical effect only when its serum concentration ... - </t>
    </r>
    <r>
      <rPr>
        <b/>
        <sz val="9"/>
        <rFont val="Arial"/>
        <family val="2"/>
        <charset val="1"/>
      </rPr>
      <t>2. Model development</t>
    </r>
  </si>
  <si>
    <r>
      <rPr>
        <sz val="9"/>
        <rFont val="Arial"/>
        <family val="2"/>
        <charset val="1"/>
      </rPr>
      <t xml:space="preserve">Parameter definitions for the New PSA Model. Ranges are taken from the literature or estimated as described in the text - </t>
    </r>
    <r>
      <rPr>
        <b/>
        <sz val="9"/>
        <rFont val="Arial"/>
        <family val="2"/>
        <charset val="1"/>
      </rPr>
      <t>Table 1</t>
    </r>
    <r>
      <rPr>
        <sz val="9"/>
        <rFont val="Arial"/>
        <family val="2"/>
        <charset val="1"/>
      </rPr>
      <t xml:space="preserve"> </t>
    </r>
    <r>
      <rPr>
        <b/>
        <sz val="9"/>
        <rFont val="Arial"/>
        <family val="2"/>
        <charset val="1"/>
      </rPr>
      <t xml:space="preserve">| </t>
    </r>
    <r>
      <rPr>
        <sz val="9"/>
        <rFont val="Arial"/>
        <family val="2"/>
        <charset val="1"/>
      </rPr>
      <t xml:space="preserve">To optimize parameters for each patient, we use the MATLAB ... to minimize the sum of squares, subject to prescribed constraints on the parameters - </t>
    </r>
    <r>
      <rPr>
        <b/>
        <sz val="9"/>
        <rFont val="Arial"/>
        <family val="2"/>
        <charset val="1"/>
      </rPr>
      <t>2.6 Parameter estimation</t>
    </r>
  </si>
  <si>
    <r>
      <rPr>
        <sz val="9"/>
        <rFont val="Arial"/>
        <family val="2"/>
        <charset val="1"/>
      </rPr>
      <t xml:space="preserve">In this study, we performed both local and global sensitivity analyses to investigate the influence of parameters on model outputs - </t>
    </r>
    <r>
      <rPr>
        <b/>
        <sz val="9"/>
        <rFont val="Arial"/>
        <family val="2"/>
        <charset val="1"/>
      </rPr>
      <t>4. Discussion</t>
    </r>
    <r>
      <rPr>
        <sz val="9"/>
        <rFont val="Arial"/>
        <family val="2"/>
        <charset val="1"/>
      </rPr>
      <t xml:space="preserve"> </t>
    </r>
    <r>
      <rPr>
        <b/>
        <sz val="9"/>
        <rFont val="Arial"/>
        <family val="2"/>
        <charset val="1"/>
      </rPr>
      <t xml:space="preserve">| </t>
    </r>
    <r>
      <rPr>
        <sz val="9"/>
        <rFont val="Arial"/>
        <family val="2"/>
        <charset val="1"/>
      </rPr>
      <t xml:space="preserve">Each component is perturbed by a relative amount of 1 percent from the baseline ... Global (Sobol) sensitivity results are given in the Appendix - </t>
    </r>
    <r>
      <rPr>
        <b/>
        <sz val="9"/>
        <rFont val="Arial"/>
        <family val="2"/>
        <charset val="1"/>
      </rPr>
      <t>3.4 Sensitivity analysis</t>
    </r>
  </si>
  <si>
    <r>
      <rPr>
        <sz val="9"/>
        <rFont val="Arial"/>
        <family val="2"/>
        <charset val="1"/>
      </rPr>
      <t xml:space="preserve">The minimization is done over the first 1.5 treatment cycles (i.e., the fitting interval is Days 1-837 in the case of this patient); then, using the model ... continued to the end of the treatment course at Day 1369 (the forecast interval) - </t>
    </r>
    <r>
      <rPr>
        <b/>
        <sz val="9"/>
        <rFont val="Arial"/>
        <family val="2"/>
        <charset val="1"/>
      </rPr>
      <t>3. Results, Fig. 2</t>
    </r>
    <r>
      <rPr>
        <sz val="9"/>
        <rFont val="Arial"/>
        <family val="2"/>
        <charset val="1"/>
      </rPr>
      <t xml:space="preserve"> </t>
    </r>
    <r>
      <rPr>
        <b/>
        <sz val="9"/>
        <rFont val="Arial"/>
        <family val="2"/>
        <charset val="1"/>
      </rPr>
      <t xml:space="preserve">| </t>
    </r>
    <r>
      <rPr>
        <sz val="9"/>
        <rFont val="Arial"/>
        <family val="2"/>
        <charset val="1"/>
      </rPr>
      <t xml:space="preserve">Next, we use the parameters to forecast the next cycle. Finally, we evaluate the MSE over the forecast period to quantify the models' predictive ability - </t>
    </r>
    <r>
      <rPr>
        <b/>
        <sz val="9"/>
        <rFont val="Arial"/>
        <family val="2"/>
        <charset val="1"/>
      </rPr>
      <t>2.6 Parameter estimation</t>
    </r>
  </si>
  <si>
    <r>
      <rPr>
        <sz val="9"/>
        <rFont val="Arial"/>
        <family val="2"/>
        <charset val="1"/>
      </rPr>
      <t xml:space="preserve">Androgen fitting and forecasting MSE comparison between the New Androgen Model ... and the Improved BK model. Error results are based on data from 20 patients - </t>
    </r>
    <r>
      <rPr>
        <b/>
        <sz val="9"/>
        <rFont val="Arial"/>
        <family val="2"/>
        <charset val="1"/>
      </rPr>
      <t>Table 3</t>
    </r>
    <r>
      <rPr>
        <sz val="9"/>
        <rFont val="Arial"/>
        <family val="2"/>
        <charset val="1"/>
      </rPr>
      <t xml:space="preserve"> </t>
    </r>
    <r>
      <rPr>
        <b/>
        <sz val="9"/>
        <rFont val="Arial"/>
        <family val="2"/>
        <charset val="1"/>
      </rPr>
      <t xml:space="preserve">| </t>
    </r>
    <r>
      <rPr>
        <sz val="9"/>
        <rFont val="Arial"/>
        <family val="2"/>
        <charset val="1"/>
      </rPr>
      <t xml:space="preserve">Prostate-specific antigen fitting and forecasting MSE comparison ... 20 patients - </t>
    </r>
    <r>
      <rPr>
        <b/>
        <sz val="9"/>
        <rFont val="Arial"/>
        <family val="2"/>
        <charset val="1"/>
      </rPr>
      <t>Table 4</t>
    </r>
  </si>
  <si>
    <r>
      <rPr>
        <sz val="9"/>
        <rFont val="Arial"/>
        <family val="2"/>
        <charset val="1"/>
      </rPr>
      <t xml:space="preserve">Not reported - no code availability statement; clinical data are from the published Bruchovsky trial - </t>
    </r>
    <r>
      <rPr>
        <b/>
        <sz val="9"/>
        <rFont val="Arial"/>
        <family val="2"/>
        <charset val="1"/>
      </rPr>
      <t>checked end matter, Appendix A</t>
    </r>
  </si>
  <si>
    <r>
      <rPr>
        <sz val="9"/>
        <rFont val="Arial"/>
        <family val="2"/>
        <charset val="1"/>
      </rPr>
      <t xml:space="preserve">we assumed that phenotypically, there are potentially up to 6 types of prostate cancer cell sub-populations that are either (1) naive or can evolve to develop resistance - </t>
    </r>
    <r>
      <rPr>
        <b/>
        <sz val="9"/>
        <rFont val="Arial"/>
        <family val="2"/>
        <charset val="1"/>
      </rPr>
      <t>2.2 Model and Assumptions</t>
    </r>
    <r>
      <rPr>
        <sz val="9"/>
        <rFont val="Arial"/>
        <family val="2"/>
        <charset val="1"/>
      </rPr>
      <t xml:space="preserve"> </t>
    </r>
    <r>
      <rPr>
        <b/>
        <sz val="9"/>
        <rFont val="Arial"/>
        <family val="2"/>
        <charset val="1"/>
      </rPr>
      <t xml:space="preserve">| </t>
    </r>
    <r>
      <rPr>
        <sz val="9"/>
        <rFont val="Arial"/>
        <family val="2"/>
        <charset val="1"/>
      </rPr>
      <t xml:space="preserve">It has been calculated that 0.00005% is the probability of a random mutation on key tumor-associated genes per cell per day [36] - </t>
    </r>
    <r>
      <rPr>
        <b/>
        <sz val="9"/>
        <rFont val="Arial"/>
        <family val="2"/>
        <charset val="1"/>
      </rPr>
      <t>2.2 Model and Assumptions</t>
    </r>
  </si>
  <si>
    <r>
      <rPr>
        <sz val="9"/>
        <rFont val="Arial"/>
        <family val="2"/>
        <charset val="1"/>
      </rPr>
      <t xml:space="preserve">Serial sections derived from bone metastatic prostate cancer patients (pre- and post-abiraterone) were stained for phospho-histone H3 ... and cleaved caspase-3 - </t>
    </r>
    <r>
      <rPr>
        <b/>
        <sz val="9"/>
        <rFont val="Arial"/>
        <family val="2"/>
        <charset val="1"/>
      </rPr>
      <t>Figure 1 legend</t>
    </r>
    <r>
      <rPr>
        <sz val="9"/>
        <rFont val="Arial"/>
        <family val="2"/>
        <charset val="1"/>
      </rPr>
      <t xml:space="preserve"> </t>
    </r>
    <r>
      <rPr>
        <b/>
        <sz val="9"/>
        <rFont val="Arial"/>
        <family val="2"/>
        <charset val="1"/>
      </rPr>
      <t xml:space="preserve">| </t>
    </r>
    <r>
      <rPr>
        <sz val="9"/>
        <rFont val="Arial"/>
        <family val="2"/>
        <charset val="1"/>
      </rPr>
      <t xml:space="preserve">Experimental and published parameters for prostate cancer growth rate per day pre- and post-treatment - </t>
    </r>
    <r>
      <rPr>
        <b/>
        <sz val="9"/>
        <rFont val="Arial"/>
        <family val="2"/>
        <charset val="1"/>
      </rPr>
      <t>Figure 1b</t>
    </r>
  </si>
  <si>
    <r>
      <rPr>
        <sz val="9"/>
        <rFont val="Arial"/>
        <family val="2"/>
        <charset val="1"/>
      </rPr>
      <t xml:space="preserve">Not reported - no sensitivity or uncertainty analysis; deterministic model; only initial-heterogeneity scenarios (10% steps) explored - </t>
    </r>
    <r>
      <rPr>
        <b/>
        <sz val="9"/>
        <rFont val="Arial"/>
        <family val="2"/>
        <charset val="1"/>
      </rPr>
      <t>checked Methods 2.2-2.4, Results, Discussion</t>
    </r>
  </si>
  <si>
    <r>
      <rPr>
        <sz val="9"/>
        <rFont val="Arial"/>
        <family val="2"/>
        <charset val="1"/>
      </rPr>
      <t xml:space="preserve">our model recapitulated the individual patient response to applied treatments in a separate and independent cohort of patients (n = 24) - </t>
    </r>
    <r>
      <rPr>
        <b/>
        <sz val="9"/>
        <rFont val="Arial"/>
        <family val="2"/>
        <charset val="1"/>
      </rPr>
      <t>Abstract</t>
    </r>
    <r>
      <rPr>
        <sz val="9"/>
        <rFont val="Arial"/>
        <family val="2"/>
        <charset val="1"/>
      </rPr>
      <t xml:space="preserve"> </t>
    </r>
    <r>
      <rPr>
        <b/>
        <sz val="9"/>
        <rFont val="Arial"/>
        <family val="2"/>
        <charset val="1"/>
      </rPr>
      <t xml:space="preserve">| </t>
    </r>
    <r>
      <rPr>
        <sz val="9"/>
        <rFont val="Arial"/>
        <family val="2"/>
        <charset val="1"/>
      </rPr>
      <t xml:space="preserve">We measure the Euclidean distance between the predicted growth curves and the patient PSA history to select the scenario that is closer to the data - </t>
    </r>
    <r>
      <rPr>
        <b/>
        <sz val="9"/>
        <rFont val="Arial"/>
        <family val="2"/>
        <charset val="1"/>
      </rPr>
      <t>2.2 Model and Assumptions</t>
    </r>
  </si>
  <si>
    <r>
      <rPr>
        <sz val="9"/>
        <rFont val="Arial"/>
        <family val="2"/>
        <charset val="1"/>
      </rPr>
      <t xml:space="preserve">We measure the Euclidean distance between the predicted growth curves and the patient PSA history to select the scenario that is closer to the data - </t>
    </r>
    <r>
      <rPr>
        <b/>
        <sz val="9"/>
        <rFont val="Arial"/>
        <family val="2"/>
        <charset val="1"/>
      </rPr>
      <t>2.2 Model and Assumptions</t>
    </r>
    <r>
      <rPr>
        <sz val="9"/>
        <rFont val="Arial"/>
        <family val="2"/>
        <charset val="1"/>
      </rPr>
      <t xml:space="preserve"> </t>
    </r>
    <r>
      <rPr>
        <b/>
        <sz val="9"/>
        <rFont val="Arial"/>
        <family val="2"/>
        <charset val="1"/>
      </rPr>
      <t xml:space="preserve">| </t>
    </r>
    <r>
      <rPr>
        <sz val="9"/>
        <rFont val="Arial"/>
        <family val="2"/>
        <charset val="1"/>
      </rPr>
      <t xml:space="preserve">Distances are used to choose each patient's initial composition; no agreement metric is reported for the validation - </t>
    </r>
    <r>
      <rPr>
        <b/>
        <sz val="9"/>
        <rFont val="Arial"/>
        <family val="2"/>
        <charset val="1"/>
      </rPr>
      <t>checked Results 3.2-3.3, Figs. 3-5</t>
    </r>
  </si>
  <si>
    <r>
      <rPr>
        <sz val="9"/>
        <rFont val="Arial"/>
        <family val="2"/>
        <charset val="1"/>
      </rPr>
      <t xml:space="preserve">The code is free to use (Apache License 2.0), written in Processing (processing.org), and can be downloaded at: github.com/d4r7hur/PSASim - </t>
    </r>
    <r>
      <rPr>
        <b/>
        <sz val="9"/>
        <rFont val="Arial"/>
        <family val="2"/>
        <charset val="1"/>
      </rPr>
      <t>2.2 Model and Assumptions</t>
    </r>
    <r>
      <rPr>
        <sz val="9"/>
        <rFont val="Arial"/>
        <family val="2"/>
        <charset val="1"/>
      </rPr>
      <t xml:space="preserve"> </t>
    </r>
    <r>
      <rPr>
        <b/>
        <sz val="9"/>
        <rFont val="Arial"/>
        <family val="2"/>
        <charset val="1"/>
      </rPr>
      <t xml:space="preserve">| </t>
    </r>
    <r>
      <rPr>
        <sz val="9"/>
        <rFont val="Arial"/>
        <family val="2"/>
        <charset val="1"/>
      </rPr>
      <t xml:space="preserve">Public repository with ARSim1.7.zip and Apache licence (checked 24 Sep 2026) - </t>
    </r>
    <r>
      <rPr>
        <b/>
        <sz val="9"/>
        <rFont val="Arial"/>
        <family val="2"/>
        <charset val="1"/>
      </rPr>
      <t>GitHub d4r7hur/PSASim</t>
    </r>
  </si>
  <si>
    <t>Moderate</t>
  </si>
  <si>
    <r>
      <rPr>
        <sz val="9"/>
        <rFont val="Arial"/>
        <family val="2"/>
        <charset val="1"/>
      </rPr>
      <t xml:space="preserve">All equations presented in this section are well established equations for cellular metabolism, and were developed by Robertson-Tessi et al. in 2015 [30] - </t>
    </r>
    <r>
      <rPr>
        <b/>
        <sz val="9"/>
        <rFont val="Arial"/>
        <family val="2"/>
        <charset val="1"/>
      </rPr>
      <t>2.1.1 Cell metabolism model equations</t>
    </r>
    <r>
      <rPr>
        <sz val="9"/>
        <rFont val="Arial"/>
        <family val="2"/>
        <charset val="1"/>
      </rPr>
      <t xml:space="preserve"> </t>
    </r>
    <r>
      <rPr>
        <b/>
        <sz val="9"/>
        <rFont val="Arial"/>
        <family val="2"/>
        <charset val="1"/>
      </rPr>
      <t xml:space="preserve">| </t>
    </r>
    <r>
      <rPr>
        <sz val="9"/>
        <rFont val="Arial"/>
        <family val="2"/>
        <charset val="1"/>
      </rPr>
      <t xml:space="preserve">Based on experimental evidence [1], and as it can be observed in Fig. 4, the switch of Sp cells to resistant cells occurs with probability - </t>
    </r>
    <r>
      <rPr>
        <b/>
        <sz val="9"/>
        <rFont val="Arial"/>
        <family val="2"/>
        <charset val="1"/>
      </rPr>
      <t>2.2 Cellular automata rules</t>
    </r>
    <r>
      <rPr>
        <sz val="9"/>
        <rFont val="Arial"/>
        <family val="2"/>
        <charset val="1"/>
      </rPr>
      <t xml:space="preserve"> </t>
    </r>
    <r>
      <rPr>
        <b/>
        <sz val="9"/>
        <rFont val="Arial"/>
        <family val="2"/>
        <charset val="1"/>
      </rPr>
      <t xml:space="preserve">| </t>
    </r>
    <r>
      <rPr>
        <sz val="9"/>
        <rFont val="Arial"/>
        <family val="2"/>
        <charset val="1"/>
      </rPr>
      <t xml:space="preserve">The probabilities that refer to drug-induced death are based on experiments and models developed in [1] - </t>
    </r>
    <r>
      <rPr>
        <b/>
        <sz val="9"/>
        <rFont val="Arial"/>
        <family val="2"/>
        <charset val="1"/>
      </rPr>
      <t>2.2 Cellular automata rules</t>
    </r>
  </si>
  <si>
    <r>
      <rPr>
        <sz val="9"/>
        <rFont val="Arial"/>
        <family val="2"/>
        <charset val="1"/>
      </rPr>
      <t xml:space="preserve">Parameters for the simulations of the model, where references marked by * are model specific parameters - </t>
    </r>
    <r>
      <rPr>
        <b/>
        <sz val="9"/>
        <rFont val="Arial"/>
        <family val="2"/>
        <charset val="1"/>
      </rPr>
      <t>Table A.1</t>
    </r>
    <r>
      <rPr>
        <sz val="9"/>
        <rFont val="Arial"/>
        <family val="2"/>
        <charset val="1"/>
      </rPr>
      <t xml:space="preserve"> </t>
    </r>
    <r>
      <rPr>
        <b/>
        <sz val="9"/>
        <rFont val="Arial"/>
        <family val="2"/>
        <charset val="1"/>
      </rPr>
      <t xml:space="preserve">| </t>
    </r>
    <r>
      <rPr>
        <sz val="9"/>
        <rFont val="Arial"/>
        <family val="2"/>
        <charset val="1"/>
      </rPr>
      <t xml:space="preserve">Four parameters have no external source: apoptosis, necrosis and quiescence stiffness coefficients (ka, kN, kq) and the necrotic threshold ON, all marked "*" - </t>
    </r>
    <r>
      <rPr>
        <b/>
        <sz val="9"/>
        <rFont val="Arial"/>
        <family val="2"/>
        <charset val="1"/>
      </rPr>
      <t>Table A.1</t>
    </r>
    <r>
      <rPr>
        <sz val="9"/>
        <rFont val="Arial"/>
        <family val="2"/>
        <charset val="1"/>
      </rPr>
      <t xml:space="preserve"> </t>
    </r>
    <r>
      <rPr>
        <b/>
        <sz val="9"/>
        <rFont val="Arial"/>
        <family val="2"/>
        <charset val="1"/>
      </rPr>
      <t xml:space="preserve">| </t>
    </r>
    <r>
      <rPr>
        <sz val="9"/>
        <rFont val="Arial"/>
        <family val="2"/>
        <charset val="1"/>
      </rPr>
      <t xml:space="preserve">Therapies (h,i) are used to help calibrate the model - </t>
    </r>
    <r>
      <rPr>
        <b/>
        <sz val="9"/>
        <rFont val="Arial"/>
        <family val="2"/>
        <charset val="1"/>
      </rPr>
      <t>Appendix B</t>
    </r>
  </si>
  <si>
    <r>
      <rPr>
        <sz val="9"/>
        <rFont val="Arial"/>
        <family val="2"/>
        <charset val="1"/>
      </rPr>
      <t xml:space="preserve">The main results presented in the paper are collected from 1500 simulation runs ... and 50 runs of each (with different random number seeds) to account for stochasticity - </t>
    </r>
    <r>
      <rPr>
        <b/>
        <sz val="9"/>
        <rFont val="Arial"/>
        <family val="2"/>
        <charset val="1"/>
      </rPr>
      <t>4. Simulation results</t>
    </r>
    <r>
      <rPr>
        <sz val="9"/>
        <rFont val="Arial"/>
        <family val="2"/>
        <charset val="1"/>
      </rPr>
      <t xml:space="preserve"> </t>
    </r>
    <r>
      <rPr>
        <b/>
        <sz val="9"/>
        <rFont val="Arial"/>
        <family val="2"/>
        <charset val="1"/>
      </rPr>
      <t xml:space="preserve">| </t>
    </r>
    <r>
      <rPr>
        <sz val="9"/>
        <rFont val="Arial"/>
        <family val="2"/>
        <charset val="1"/>
      </rPr>
      <t xml:space="preserve">Given the high number of parameters, we believe that the first step will be to select, through mathematical techniques such as sensitivity analysis [54], those few parameters that play a major role - </t>
    </r>
    <r>
      <rPr>
        <b/>
        <sz val="9"/>
        <rFont val="Arial"/>
        <family val="2"/>
        <charset val="1"/>
      </rPr>
      <t>5. Discussion</t>
    </r>
  </si>
  <si>
    <r>
      <rPr>
        <sz val="9"/>
        <rFont val="Arial"/>
        <family val="2"/>
        <charset val="1"/>
      </rPr>
      <t xml:space="preserve">For the 18 week therapies we show a comparison of the PCa cell coverage as a percentage of pathological area against data from Cerasuolo et al. [1] - </t>
    </r>
    <r>
      <rPr>
        <b/>
        <sz val="9"/>
        <rFont val="Arial"/>
        <family val="2"/>
        <charset val="1"/>
      </rPr>
      <t>4. Simulation results</t>
    </r>
    <r>
      <rPr>
        <sz val="9"/>
        <rFont val="Arial"/>
        <family val="2"/>
        <charset val="1"/>
      </rPr>
      <t xml:space="preserve"> </t>
    </r>
    <r>
      <rPr>
        <b/>
        <sz val="9"/>
        <rFont val="Arial"/>
        <family val="2"/>
        <charset val="1"/>
      </rPr>
      <t xml:space="preserve">| </t>
    </r>
    <r>
      <rPr>
        <sz val="9"/>
        <rFont val="Arial"/>
        <family val="2"/>
        <charset val="1"/>
      </rPr>
      <t xml:space="preserve">As we see in Fig. 16, our simulations fall within the natural variation observed in living organisms - </t>
    </r>
    <r>
      <rPr>
        <b/>
        <sz val="9"/>
        <rFont val="Arial"/>
        <family val="2"/>
        <charset val="1"/>
      </rPr>
      <t>4.2 18 Week therapies</t>
    </r>
  </si>
  <si>
    <r>
      <rPr>
        <sz val="9"/>
        <rFont val="Arial"/>
        <family val="2"/>
        <charset val="1"/>
      </rPr>
      <t xml:space="preserve">Cell coverage percentage for different therapies against data (blue dots) from [1] - </t>
    </r>
    <r>
      <rPr>
        <b/>
        <sz val="9"/>
        <rFont val="Arial"/>
        <family val="2"/>
        <charset val="1"/>
      </rPr>
      <t>Fig. 16 legend</t>
    </r>
    <r>
      <rPr>
        <sz val="9"/>
        <rFont val="Arial"/>
        <family val="2"/>
        <charset val="1"/>
      </rPr>
      <t xml:space="preserve"> </t>
    </r>
    <r>
      <rPr>
        <b/>
        <sz val="9"/>
        <rFont val="Arial"/>
        <family val="2"/>
        <charset val="1"/>
      </rPr>
      <t xml:space="preserve">| </t>
    </r>
    <r>
      <rPr>
        <sz val="9"/>
        <rFont val="Arial"/>
        <family val="2"/>
        <charset val="1"/>
      </rPr>
      <t xml:space="preserve">Agreement judged visually ("within the natural variation"); no error or goodness-of-fit metric reported - </t>
    </r>
    <r>
      <rPr>
        <b/>
        <sz val="9"/>
        <rFont val="Arial"/>
        <family val="2"/>
        <charset val="1"/>
      </rPr>
      <t>checked 4.2, Fig. 16, 5. Discussion</t>
    </r>
  </si>
  <si>
    <r>
      <rPr>
        <sz val="9"/>
        <rFont val="Arial"/>
        <family val="2"/>
        <charset val="1"/>
      </rPr>
      <t xml:space="preserve">The code used to produce the simulations in this paper is available freely from the Zenodo repository [56] - </t>
    </r>
    <r>
      <rPr>
        <b/>
        <sz val="9"/>
        <rFont val="Arial"/>
        <family val="2"/>
        <charset val="1"/>
      </rPr>
      <t>Data availability</t>
    </r>
    <r>
      <rPr>
        <sz val="9"/>
        <rFont val="Arial"/>
        <family val="2"/>
        <charset val="1"/>
      </rPr>
      <t xml:space="preserve"> </t>
    </r>
    <r>
      <rPr>
        <b/>
        <sz val="9"/>
        <rFont val="Arial"/>
        <family val="2"/>
        <charset val="1"/>
      </rPr>
      <t xml:space="preserve">| </t>
    </r>
    <r>
      <rPr>
        <sz val="9"/>
        <rFont val="Arial"/>
        <family val="2"/>
        <charset val="1"/>
      </rPr>
      <t xml:space="preserve">Code to Reproduce the Results of the Paper ... Zenodo, http://dx.doi.org/10.5281/zenodo.6545987 (MATLAB: Call_Hybrid_Model.m, Hybrid_Model.m, Cell_Coverage_Comparison.m) - </t>
    </r>
    <r>
      <rPr>
        <b/>
        <sz val="9"/>
        <rFont val="Arial"/>
        <family val="2"/>
        <charset val="1"/>
      </rPr>
      <t>Reference [56]</t>
    </r>
  </si>
  <si>
    <r>
      <rPr>
        <sz val="9"/>
        <rFont val="Arial"/>
        <family val="2"/>
        <charset val="1"/>
      </rPr>
      <t xml:space="preserve">Parameters were estimated adjusting data to the model with the First Order Conditional Estimates with Interaction (FOCEI) algorithm plus the Laplacian option - </t>
    </r>
    <r>
      <rPr>
        <b/>
        <sz val="9"/>
        <rFont val="Arial"/>
        <family val="2"/>
        <charset val="1"/>
      </rPr>
      <t>2.5 Statistical Analyses and Computing Process</t>
    </r>
    <r>
      <rPr>
        <sz val="9"/>
        <rFont val="Arial"/>
        <family val="2"/>
        <charset val="1"/>
      </rPr>
      <t xml:space="preserve"> </t>
    </r>
    <r>
      <rPr>
        <b/>
        <sz val="9"/>
        <rFont val="Arial"/>
        <family val="2"/>
        <charset val="1"/>
      </rPr>
      <t xml:space="preserve">| </t>
    </r>
    <r>
      <rPr>
        <sz val="9"/>
        <rFont val="Arial"/>
        <family val="2"/>
        <charset val="1"/>
      </rPr>
      <t xml:space="preserve">Empirical kinetic-pharmacodynamic (K-PD) structure for PSA production (KPROD) and elimination (KELIM); no cell-level biological mechanism - </t>
    </r>
    <r>
      <rPr>
        <b/>
        <sz val="9"/>
        <rFont val="Arial"/>
        <family val="2"/>
        <charset val="1"/>
      </rPr>
      <t>checked 2.2-2.3, candidate passages</t>
    </r>
  </si>
  <si>
    <r>
      <rPr>
        <sz val="9"/>
        <rFont val="Arial"/>
        <family val="2"/>
        <charset val="1"/>
      </rPr>
      <t xml:space="preserve">Indeed, the modeled kinetic parameters were estimated during the first 100 days of treatment - </t>
    </r>
    <r>
      <rPr>
        <b/>
        <sz val="9"/>
        <rFont val="Arial"/>
        <family val="2"/>
        <charset val="1"/>
      </rPr>
      <t>2.4 Prognostic Value of Modeled PSA Kinetics during the First 100 Days</t>
    </r>
    <r>
      <rPr>
        <sz val="9"/>
        <rFont val="Arial"/>
        <family val="2"/>
        <charset val="1"/>
      </rPr>
      <t xml:space="preserve"> </t>
    </r>
    <r>
      <rPr>
        <b/>
        <sz val="9"/>
        <rFont val="Arial"/>
        <family val="2"/>
        <charset val="1"/>
      </rPr>
      <t xml:space="preserve">| </t>
    </r>
    <r>
      <rPr>
        <sz val="9"/>
        <rFont val="Arial"/>
        <family val="2"/>
        <charset val="1"/>
      </rPr>
      <t xml:space="preserve">KPROD and KELIM were standardized by their median, respectively (median KPROD = 0.002 ng/mL/day, median KELIM = 0.081 day-1) - </t>
    </r>
    <r>
      <rPr>
        <b/>
        <sz val="9"/>
        <rFont val="Arial"/>
        <family val="2"/>
        <charset val="1"/>
      </rPr>
      <t>3.3 KELIM and KPROD Prognostic Values</t>
    </r>
  </si>
  <si>
    <r>
      <rPr>
        <sz val="9"/>
        <rFont val="Arial"/>
        <family val="2"/>
        <charset val="1"/>
      </rPr>
      <t xml:space="preserve">VPC represented 500 replicates of all individual PSA decline profiles simulated from the final parameter estimates of the model - </t>
    </r>
    <r>
      <rPr>
        <b/>
        <sz val="9"/>
        <rFont val="Arial"/>
        <family val="2"/>
        <charset val="1"/>
      </rPr>
      <t>2.3 Model Qualification</t>
    </r>
    <r>
      <rPr>
        <sz val="9"/>
        <rFont val="Arial"/>
        <family val="2"/>
        <charset val="1"/>
      </rPr>
      <t xml:space="preserve"> </t>
    </r>
    <r>
      <rPr>
        <b/>
        <sz val="9"/>
        <rFont val="Arial"/>
        <family val="2"/>
        <charset val="1"/>
      </rPr>
      <t xml:space="preserve">| </t>
    </r>
    <r>
      <rPr>
        <sz val="9"/>
        <rFont val="Arial"/>
        <family val="2"/>
        <charset val="1"/>
      </rPr>
      <t xml:space="preserve">Standard Errors (SE) were estimated by 2000 samples bootstrap - </t>
    </r>
    <r>
      <rPr>
        <b/>
        <sz val="9"/>
        <rFont val="Arial"/>
        <family val="2"/>
        <charset val="1"/>
      </rPr>
      <t>2.5 Statistical Analyses and Computing Process</t>
    </r>
  </si>
  <si>
    <r>
      <rPr>
        <sz val="9"/>
        <rFont val="Arial"/>
        <family val="2"/>
        <charset val="1"/>
      </rPr>
      <t xml:space="preserve">VPC were used as models for internal validation - </t>
    </r>
    <r>
      <rPr>
        <b/>
        <sz val="9"/>
        <rFont val="Arial"/>
        <family val="2"/>
        <charset val="1"/>
      </rPr>
      <t>2.3 Model Qualification</t>
    </r>
    <r>
      <rPr>
        <sz val="9"/>
        <rFont val="Arial"/>
        <family val="2"/>
        <charset val="1"/>
      </rPr>
      <t xml:space="preserve"> </t>
    </r>
    <r>
      <rPr>
        <b/>
        <sz val="9"/>
        <rFont val="Arial"/>
        <family val="2"/>
        <charset val="1"/>
      </rPr>
      <t xml:space="preserve">| </t>
    </r>
    <r>
      <rPr>
        <sz val="9"/>
        <rFont val="Arial"/>
        <family val="2"/>
        <charset val="1"/>
      </rPr>
      <t xml:space="preserve">Thus, our outcomes are mainly hypothesis generating, and the validation of these present results on other PSA databases with larger numbers of patients could reinforce these results - </t>
    </r>
    <r>
      <rPr>
        <b/>
        <sz val="9"/>
        <rFont val="Arial"/>
        <family val="2"/>
        <charset val="1"/>
      </rPr>
      <t>4. Discussion</t>
    </r>
  </si>
  <si>
    <r>
      <rPr>
        <sz val="9"/>
        <rFont val="Arial"/>
        <family val="2"/>
        <charset val="1"/>
      </rPr>
      <t xml:space="preserve">The PSA predictions, obtained with the fitting of data on the K-PD model, were qualified using common algorithms, such as relative standard error (RSE), goodness-of-fit plots (GOF) - </t>
    </r>
    <r>
      <rPr>
        <b/>
        <sz val="9"/>
        <rFont val="Arial"/>
        <family val="2"/>
        <charset val="1"/>
      </rPr>
      <t>2.3 Model Qualification</t>
    </r>
    <r>
      <rPr>
        <sz val="9"/>
        <rFont val="Arial"/>
        <family val="2"/>
        <charset val="1"/>
      </rPr>
      <t xml:space="preserve"> </t>
    </r>
    <r>
      <rPr>
        <b/>
        <sz val="9"/>
        <rFont val="Arial"/>
        <family val="2"/>
        <charset val="1"/>
      </rPr>
      <t xml:space="preserve">| </t>
    </r>
    <r>
      <rPr>
        <sz val="9"/>
        <rFont val="Arial"/>
        <family val="2"/>
        <charset val="1"/>
      </rPr>
      <t xml:space="preserve">Goodness-of-fit on the fitted cohort only - </t>
    </r>
    <r>
      <rPr>
        <b/>
        <sz val="9"/>
        <rFont val="Arial"/>
        <family val="2"/>
        <charset val="1"/>
      </rPr>
      <t>checked 2.3, 3.1</t>
    </r>
  </si>
  <si>
    <r>
      <rPr>
        <sz val="9"/>
        <rFont val="Arial"/>
        <family val="2"/>
        <charset val="1"/>
      </rPr>
      <t xml:space="preserve">The data presented in this study are available in this article and Supplementary Material - </t>
    </r>
    <r>
      <rPr>
        <b/>
        <sz val="9"/>
        <rFont val="Arial"/>
        <family val="2"/>
        <charset val="1"/>
      </rPr>
      <t>Data Availability Statement</t>
    </r>
    <r>
      <rPr>
        <sz val="9"/>
        <rFont val="Arial"/>
        <family val="2"/>
        <charset val="1"/>
      </rPr>
      <t xml:space="preserve"> </t>
    </r>
    <r>
      <rPr>
        <b/>
        <sz val="9"/>
        <rFont val="Arial"/>
        <family val="2"/>
        <charset val="1"/>
      </rPr>
      <t xml:space="preserve">| </t>
    </r>
    <r>
      <rPr>
        <sz val="9"/>
        <rFont val="Arial"/>
        <family val="2"/>
        <charset val="1"/>
      </rPr>
      <t xml:space="preserve">they could be easily calculated online at patient bedside on https://www.biomarker-kinetics.org/presentation - </t>
    </r>
    <r>
      <rPr>
        <b/>
        <sz val="9"/>
        <rFont val="Arial"/>
        <family val="2"/>
        <charset val="1"/>
      </rPr>
      <t>4. Discussion</t>
    </r>
  </si>
  <si>
    <r>
      <rPr>
        <sz val="9"/>
        <rFont val="Arial"/>
        <family val="2"/>
        <charset val="1"/>
      </rPr>
      <t xml:space="preserve">To abstract and simplify these blood vessel dynamics, we assume that the tumor periphery is where drug delivery mainly occurs and therefore where treatment is applied and withdrawn - </t>
    </r>
    <r>
      <rPr>
        <b/>
        <sz val="9"/>
        <rFont val="Arial"/>
        <family val="2"/>
        <charset val="1"/>
      </rPr>
      <t>Methods, Cell death</t>
    </r>
    <r>
      <rPr>
        <sz val="9"/>
        <rFont val="Arial"/>
        <family val="2"/>
        <charset val="1"/>
      </rPr>
      <t xml:space="preserve"> </t>
    </r>
    <r>
      <rPr>
        <b/>
        <sz val="9"/>
        <rFont val="Arial"/>
        <family val="2"/>
        <charset val="1"/>
      </rPr>
      <t xml:space="preserve">| </t>
    </r>
    <r>
      <rPr>
        <sz val="9"/>
        <rFont val="Arial"/>
        <family val="2"/>
        <charset val="1"/>
      </rPr>
      <t xml:space="preserve">Here, we assume that resistant cells have a fitness cost, in that their rate of division is slower than that of a fully sensitive cell - </t>
    </r>
    <r>
      <rPr>
        <b/>
        <sz val="9"/>
        <rFont val="Arial"/>
        <family val="2"/>
        <charset val="1"/>
      </rPr>
      <t>Methods, Cell death</t>
    </r>
  </si>
  <si>
    <r>
      <rPr>
        <sz val="9"/>
        <rFont val="Arial"/>
        <family val="2"/>
        <charset val="1"/>
      </rPr>
      <t xml:space="preserve">Ranges of parameters used in the mathematical model (NDx, m, r0, dr, hi, ha) - </t>
    </r>
    <r>
      <rPr>
        <b/>
        <sz val="9"/>
        <rFont val="Arial"/>
        <family val="2"/>
        <charset val="1"/>
      </rPr>
      <t>Table 1</t>
    </r>
    <r>
      <rPr>
        <sz val="9"/>
        <rFont val="Arial"/>
        <family val="2"/>
        <charset val="1"/>
      </rPr>
      <t xml:space="preserve"> </t>
    </r>
    <r>
      <rPr>
        <b/>
        <sz val="9"/>
        <rFont val="Arial"/>
        <family val="2"/>
        <charset val="1"/>
      </rPr>
      <t xml:space="preserve">| </t>
    </r>
    <r>
      <rPr>
        <sz val="9"/>
        <rFont val="Arial"/>
        <family val="2"/>
        <charset val="1"/>
      </rPr>
      <t xml:space="preserve">k = 150 cells/d was calibrated within the relevant parameter space - </t>
    </r>
    <r>
      <rPr>
        <b/>
        <sz val="9"/>
        <rFont val="Arial"/>
        <family val="2"/>
        <charset val="1"/>
      </rPr>
      <t>Methods, Metastasis seeding</t>
    </r>
    <r>
      <rPr>
        <sz val="9"/>
        <rFont val="Arial"/>
        <family val="2"/>
        <charset val="1"/>
      </rPr>
      <t xml:space="preserve"> </t>
    </r>
    <r>
      <rPr>
        <b/>
        <sz val="9"/>
        <rFont val="Arial"/>
        <family val="2"/>
        <charset val="1"/>
      </rPr>
      <t xml:space="preserve">| </t>
    </r>
    <r>
      <rPr>
        <sz val="9"/>
        <rFont val="Arial"/>
        <family val="2"/>
        <charset val="1"/>
      </rPr>
      <t xml:space="preserve">In defining the parameters for the model, we built reasonable bounds around realistic biological quantities ... However, these bounds are not necessarily known or measurable for all parameters - </t>
    </r>
    <r>
      <rPr>
        <b/>
        <sz val="9"/>
        <rFont val="Arial"/>
        <family val="2"/>
        <charset val="1"/>
      </rPr>
      <t>Discussion</t>
    </r>
  </si>
  <si>
    <r>
      <rPr>
        <sz val="9"/>
        <rFont val="Arial"/>
        <family val="2"/>
        <charset val="1"/>
      </rPr>
      <t xml:space="preserve">We create a cohort of 1,000 virtual patients by randomly varying the six key model parameters shown in Table 1 - </t>
    </r>
    <r>
      <rPr>
        <b/>
        <sz val="9"/>
        <rFont val="Arial"/>
        <family val="2"/>
        <charset val="1"/>
      </rPr>
      <t>Results, A cell cycle-independent drug is needed</t>
    </r>
    <r>
      <rPr>
        <sz val="9"/>
        <rFont val="Arial"/>
        <family val="2"/>
        <charset val="1"/>
      </rPr>
      <t xml:space="preserve"> </t>
    </r>
    <r>
      <rPr>
        <b/>
        <sz val="9"/>
        <rFont val="Arial"/>
        <family val="2"/>
        <charset val="1"/>
      </rPr>
      <t xml:space="preserve">| </t>
    </r>
    <r>
      <rPr>
        <sz val="9"/>
        <rFont val="Arial"/>
        <family val="2"/>
        <charset val="1"/>
      </rPr>
      <t xml:space="preserve">An array of 300 random parameter combinations is simulated - </t>
    </r>
    <r>
      <rPr>
        <b/>
        <sz val="9"/>
        <rFont val="Arial"/>
        <family val="2"/>
        <charset val="1"/>
      </rPr>
      <t>Figs. 3-4 legends</t>
    </r>
  </si>
  <si>
    <r>
      <rPr>
        <sz val="9"/>
        <rFont val="Arial"/>
        <family val="2"/>
        <charset val="1"/>
      </rPr>
      <t xml:space="preserve">Our minimal model was calibrated to the dynamics of the patients in the mCRPC trial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It should be noted that the number of patients in the clinical trial is small; therefore, these results would need to be further explored for validation - </t>
    </r>
    <r>
      <rPr>
        <b/>
        <sz val="9"/>
        <rFont val="Arial"/>
        <family val="2"/>
        <charset val="1"/>
      </rPr>
      <t>Discussion</t>
    </r>
  </si>
  <si>
    <r>
      <rPr>
        <sz val="9"/>
        <rFont val="Arial"/>
        <family val="2"/>
        <charset val="1"/>
      </rPr>
      <t xml:space="preserve">A visual comparison of the cycle space ... implies that the cell-independent drug is more representative of the skewed relationship between response and regrowth times seen in the patient dynamics - </t>
    </r>
    <r>
      <rPr>
        <b/>
        <sz val="9"/>
        <rFont val="Arial"/>
        <family val="2"/>
        <charset val="1"/>
      </rPr>
      <t>Results</t>
    </r>
    <r>
      <rPr>
        <sz val="9"/>
        <rFont val="Arial"/>
        <family val="2"/>
        <charset val="1"/>
      </rPr>
      <t xml:space="preserve"> </t>
    </r>
    <r>
      <rPr>
        <b/>
        <sz val="9"/>
        <rFont val="Arial"/>
        <family val="2"/>
        <charset val="1"/>
      </rPr>
      <t xml:space="preserve">| </t>
    </r>
    <r>
      <rPr>
        <sz val="9"/>
        <rFont val="Arial"/>
        <family val="2"/>
        <charset val="1"/>
      </rPr>
      <t xml:space="preserve">Not reported - no goodness-of-fit metric; Gleason-group matching thresholds are in the Supplementary Methods - </t>
    </r>
    <r>
      <rPr>
        <b/>
        <sz val="9"/>
        <rFont val="Arial"/>
        <family val="2"/>
        <charset val="1"/>
      </rPr>
      <t>checked Methods, Results, Figs. 2 and 7</t>
    </r>
  </si>
  <si>
    <r>
      <rPr>
        <sz val="9"/>
        <rFont val="Arial"/>
        <family val="2"/>
        <charset val="1"/>
      </rPr>
      <t xml:space="preserve">The source code for the computational model is available on Github at: https://github.com/MathOnco/multiMets - </t>
    </r>
    <r>
      <rPr>
        <b/>
        <sz val="9"/>
        <rFont val="Arial"/>
        <family val="2"/>
        <charset val="1"/>
      </rPr>
      <t>Data availability</t>
    </r>
    <r>
      <rPr>
        <sz val="9"/>
        <rFont val="Arial"/>
        <family val="2"/>
        <charset val="1"/>
      </rPr>
      <t xml:space="preserve"> </t>
    </r>
    <r>
      <rPr>
        <b/>
        <sz val="9"/>
        <rFont val="Arial"/>
        <family val="2"/>
        <charset val="1"/>
      </rPr>
      <t xml:space="preserve">| </t>
    </r>
    <r>
      <rPr>
        <sz val="9"/>
        <rFont val="Arial"/>
        <family val="2"/>
        <charset val="1"/>
      </rPr>
      <t xml:space="preserve">Full Java source (Main, Pars, Met, Cell, Treatment classes), exe.sh, arrayVars0.txt parameter sets, MIT licence, 17 commits (checked 24 Sep 2026) - </t>
    </r>
    <r>
      <rPr>
        <b/>
        <sz val="9"/>
        <rFont val="Arial"/>
        <family val="2"/>
        <charset val="1"/>
      </rPr>
      <t>GitHub MathOnco/multiMets</t>
    </r>
  </si>
  <si>
    <r>
      <rPr>
        <sz val="9"/>
        <rFont val="Arial"/>
        <family val="2"/>
        <charset val="1"/>
      </rPr>
      <t xml:space="preserve">We assume that each phenotype produces roughly equal amounts of PSA, which may introduce error if this assumption is substantially violated - </t>
    </r>
    <r>
      <rPr>
        <b/>
        <sz val="9"/>
        <rFont val="Arial"/>
        <family val="2"/>
        <charset val="1"/>
      </rPr>
      <t>Mathematical models used in trial design and analysis</t>
    </r>
    <r>
      <rPr>
        <sz val="9"/>
        <rFont val="Arial"/>
        <family val="2"/>
        <charset val="1"/>
      </rPr>
      <t xml:space="preserve"> </t>
    </r>
    <r>
      <rPr>
        <b/>
        <sz val="9"/>
        <rFont val="Arial"/>
        <family val="2"/>
        <charset val="1"/>
      </rPr>
      <t xml:space="preserve">| </t>
    </r>
    <r>
      <rPr>
        <sz val="9"/>
        <rFont val="Arial"/>
        <family val="2"/>
        <charset val="1"/>
      </rPr>
      <t xml:space="preserve">We arbitrarily set the carrying capacity to 10,000 (its scalable). and we assume all cell types have the same carrying capacity - </t>
    </r>
    <r>
      <rPr>
        <b/>
        <sz val="9"/>
        <rFont val="Arial"/>
        <family val="2"/>
        <charset val="1"/>
      </rPr>
      <t>Converting longitudinal trial data to parameter estimates</t>
    </r>
  </si>
  <si>
    <r>
      <rPr>
        <sz val="9"/>
        <rFont val="Arial"/>
        <family val="2"/>
        <charset val="1"/>
      </rPr>
      <t xml:space="preserve">We then used the average of these patient-specific estimates of rR as the patient-wide parameter value for both trial and continuous therapy cohorts (Appendix 1) - </t>
    </r>
    <r>
      <rPr>
        <b/>
        <sz val="9"/>
        <rFont val="Arial"/>
        <family val="2"/>
        <charset val="1"/>
      </rPr>
      <t>Converting longitudinal trial data to parameter estimates</t>
    </r>
    <r>
      <rPr>
        <sz val="9"/>
        <rFont val="Arial"/>
        <family val="2"/>
        <charset val="1"/>
      </rPr>
      <t xml:space="preserve"> </t>
    </r>
    <r>
      <rPr>
        <b/>
        <sz val="9"/>
        <rFont val="Arial"/>
        <family val="2"/>
        <charset val="1"/>
      </rPr>
      <t xml:space="preserve">| </t>
    </r>
    <r>
      <rPr>
        <sz val="9"/>
        <rFont val="Arial"/>
        <family val="2"/>
        <charset val="1"/>
      </rPr>
      <t xml:space="preserve">Because ADT was continued during abiraterone therapy, we assumed that the T+ cell proliferation was linked exclusively to androgen production by the TP cells - </t>
    </r>
    <r>
      <rPr>
        <b/>
        <sz val="9"/>
        <rFont val="Arial"/>
        <family val="2"/>
        <charset val="1"/>
      </rPr>
      <t>Converting longitudinal trial data to parameter estimates</t>
    </r>
  </si>
  <si>
    <r>
      <rPr>
        <sz val="9"/>
        <rFont val="Arial"/>
        <family val="2"/>
        <charset val="1"/>
      </rPr>
      <t xml:space="preserve">Not reported - confidence intervals shown are for clinical outcomes (TTP, OS), not model parameters or predictions - </t>
    </r>
    <r>
      <rPr>
        <b/>
        <sz val="9"/>
        <rFont val="Arial"/>
        <family val="2"/>
        <charset val="1"/>
      </rPr>
      <t>Results; checked candidate passages - revisit Appendix 1</t>
    </r>
  </si>
  <si>
    <r>
      <rPr>
        <sz val="9"/>
        <rFont val="Arial"/>
        <family val="2"/>
        <charset val="1"/>
      </rPr>
      <t xml:space="preserve">Here, consistent with this and model predictions, evolution-based application of abiraterone significantly improved (p&lt;0.001) median TTP (33.5 months; Figure 1) - </t>
    </r>
    <r>
      <rPr>
        <b/>
        <sz val="9"/>
        <rFont val="Arial"/>
        <family val="2"/>
        <charset val="1"/>
      </rPr>
      <t>Cohort analysis</t>
    </r>
    <r>
      <rPr>
        <sz val="9"/>
        <rFont val="Arial"/>
        <family val="2"/>
        <charset val="1"/>
      </rPr>
      <t xml:space="preserve"> </t>
    </r>
    <r>
      <rPr>
        <b/>
        <sz val="9"/>
        <rFont val="Arial"/>
        <family val="2"/>
        <charset val="1"/>
      </rPr>
      <t xml:space="preserve">| </t>
    </r>
    <r>
      <rPr>
        <sz val="9"/>
        <rFont val="Arial"/>
        <family val="2"/>
        <charset val="1"/>
      </rPr>
      <t xml:space="preserve">While this approach seemed successful in this pilot trial, it clearly must be validated in multiple other trials with larger study cohorts - </t>
    </r>
    <r>
      <rPr>
        <b/>
        <sz val="9"/>
        <rFont val="Arial"/>
        <family val="2"/>
        <charset val="1"/>
      </rPr>
      <t>Discussion</t>
    </r>
  </si>
  <si>
    <r>
      <rPr>
        <sz val="9"/>
        <rFont val="Arial"/>
        <family val="2"/>
        <charset val="1"/>
      </rPr>
      <t xml:space="preserve">Not reported - statistics compare trial and standard-of-care cohorts (TTP, OS), not model output with data - </t>
    </r>
    <r>
      <rPr>
        <b/>
        <sz val="9"/>
        <rFont val="Arial"/>
        <family val="2"/>
        <charset val="1"/>
      </rPr>
      <t>Cohort analysis; revisit Appendix 1 for fit metrics</t>
    </r>
  </si>
  <si>
    <r>
      <rPr>
        <sz val="9"/>
        <rFont val="Arial"/>
        <family val="2"/>
        <charset val="1"/>
      </rPr>
      <t xml:space="preserve">The code used for analyzing, parameter fitting and simulations of the Lotka-Volterra model is available on GitHub (https://github.com/cunninghamjj/Evolution-based-mathematical-models-significantly-prolong-response-to-Abiraterone-in-mCRPC, copy archived at swh:...) - </t>
    </r>
    <r>
      <rPr>
        <b/>
        <sz val="9"/>
        <rFont val="Arial"/>
        <family val="2"/>
        <charset val="1"/>
      </rPr>
      <t>Data availability</t>
    </r>
    <r>
      <rPr>
        <sz val="9"/>
        <rFont val="Arial"/>
        <family val="2"/>
        <charset val="1"/>
      </rPr>
      <t xml:space="preserve"> </t>
    </r>
    <r>
      <rPr>
        <b/>
        <sz val="9"/>
        <rFont val="Arial"/>
        <family val="2"/>
        <charset val="1"/>
      </rPr>
      <t xml:space="preserve">| </t>
    </r>
    <r>
      <rPr>
        <sz val="9"/>
        <rFont val="Arial"/>
        <family val="2"/>
        <charset val="1"/>
      </rPr>
      <t xml:space="preserve">The source data file containing anonymized PSA data from trial patients is available in both Matlab and .xlsx format - </t>
    </r>
    <r>
      <rPr>
        <b/>
        <sz val="9"/>
        <rFont val="Arial"/>
        <family val="2"/>
        <charset val="1"/>
      </rPr>
      <t>Data availability</t>
    </r>
  </si>
  <si>
    <r>
      <rPr>
        <sz val="9"/>
        <rFont val="Arial"/>
        <family val="2"/>
        <charset val="1"/>
      </rPr>
      <t xml:space="preserve">The paper develops a biochemically motivated mathematical model that begins to address heterogeneity of prostate cancer progression under different antiandrogen treatment regimes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Interactions follow the law of mass action, the full details of which are presented in SI Text - </t>
    </r>
    <r>
      <rPr>
        <b/>
        <sz val="9"/>
        <rFont val="Arial"/>
        <family val="2"/>
        <charset val="1"/>
      </rPr>
      <t>Model</t>
    </r>
  </si>
  <si>
    <r>
      <rPr>
        <sz val="9"/>
        <rFont val="Arial"/>
        <family val="2"/>
        <charset val="1"/>
      </rPr>
      <t xml:space="preserve">We divide the parameters in our model into three categories: (i) parameter values from the literature, (ii) parameters derived from data fitting, and (iii) personalized parameters - </t>
    </r>
    <r>
      <rPr>
        <b/>
        <sz val="9"/>
        <rFont val="Arial"/>
        <family val="2"/>
        <charset val="1"/>
      </rPr>
      <t>Personalized Parameters</t>
    </r>
    <r>
      <rPr>
        <sz val="9"/>
        <rFont val="Arial"/>
        <family val="2"/>
        <charset val="1"/>
      </rPr>
      <t xml:space="preserve"> </t>
    </r>
    <r>
      <rPr>
        <b/>
        <sz val="9"/>
        <rFont val="Arial"/>
        <family val="2"/>
        <charset val="1"/>
      </rPr>
      <t xml:space="preserve">| </t>
    </r>
    <r>
      <rPr>
        <sz val="9"/>
        <rFont val="Arial"/>
        <family val="2"/>
        <charset val="1"/>
      </rPr>
      <t xml:space="preserve">Derivation of parameters is presented in SI Text, sections S2 and S3 (not read) - </t>
    </r>
    <r>
      <rPr>
        <b/>
        <sz val="9"/>
        <rFont val="Arial"/>
        <family val="2"/>
        <charset val="1"/>
      </rPr>
      <t>Personalized Parameters</t>
    </r>
  </si>
  <si>
    <r>
      <rPr>
        <sz val="9"/>
        <rFont val="Arial"/>
        <family val="2"/>
        <charset val="1"/>
      </rPr>
      <t xml:space="preserve">Plot of the difference in predicted disease-free survival periods in patients on rapid cycling as described above and continuous therapy versus increasing levels of competitive advantage of N over M, represented by the nondimensional constant theta - </t>
    </r>
    <r>
      <rPr>
        <b/>
        <sz val="9"/>
        <rFont val="Arial"/>
        <family val="2"/>
        <charset val="1"/>
      </rPr>
      <t>Fig. 3C legend</t>
    </r>
    <r>
      <rPr>
        <sz val="9"/>
        <rFont val="Arial"/>
        <family val="2"/>
        <charset val="1"/>
      </rPr>
      <t xml:space="preserve"> </t>
    </r>
    <r>
      <rPr>
        <b/>
        <sz val="9"/>
        <rFont val="Arial"/>
        <family val="2"/>
        <charset val="1"/>
      </rPr>
      <t xml:space="preserve">| </t>
    </r>
    <r>
      <rPr>
        <sz val="9"/>
        <rFont val="Arial"/>
        <family val="2"/>
        <charset val="1"/>
      </rPr>
      <t xml:space="preserve">Scenario variation of personalized parameters only; no formal sensitivity or uncertainty analysis - </t>
    </r>
    <r>
      <rPr>
        <b/>
        <sz val="9"/>
        <rFont val="Arial"/>
        <family val="2"/>
        <charset val="1"/>
      </rPr>
      <t>checked Results, Figs. 2-3</t>
    </r>
  </si>
  <si>
    <r>
      <rPr>
        <sz val="9"/>
        <rFont val="Arial"/>
        <family val="2"/>
        <charset val="1"/>
      </rPr>
      <t xml:space="preserve">By adjusting the few personalized parameters, we were able to fit the model simulations to the "average" patients reported in the corresponding publications for these cases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Both case studies (refs 28, 29) are used for fitting; the 5-10-year forecasts are not tested against data - </t>
    </r>
    <r>
      <rPr>
        <b/>
        <sz val="9"/>
        <rFont val="Arial"/>
        <family val="2"/>
        <charset val="1"/>
      </rPr>
      <t>checked Results, Discussion</t>
    </r>
  </si>
  <si>
    <r>
      <rPr>
        <sz val="9"/>
        <rFont val="Arial"/>
        <family val="2"/>
        <charset val="1"/>
      </rPr>
      <t xml:space="preserve">Fits to the PSA data reported in ref. 28 ... gives a good fit to the data (Fig. 2B) - </t>
    </r>
    <r>
      <rPr>
        <b/>
        <sz val="9"/>
        <rFont val="Arial"/>
        <family val="2"/>
        <charset val="1"/>
      </rPr>
      <t>Results, Case 1</t>
    </r>
    <r>
      <rPr>
        <sz val="9"/>
        <rFont val="Arial"/>
        <family val="2"/>
        <charset val="1"/>
      </rPr>
      <t xml:space="preserve"> </t>
    </r>
    <r>
      <rPr>
        <b/>
        <sz val="9"/>
        <rFont val="Arial"/>
        <family val="2"/>
        <charset val="1"/>
      </rPr>
      <t xml:space="preserve">| </t>
    </r>
    <r>
      <rPr>
        <sz val="9"/>
        <rFont val="Arial"/>
        <family val="2"/>
        <charset val="1"/>
      </rPr>
      <t xml:space="preserve">Fit quality judged visually; no goodness-of-fit statistic in the main text - </t>
    </r>
    <r>
      <rPr>
        <b/>
        <sz val="9"/>
        <rFont val="Arial"/>
        <family val="2"/>
        <charset val="1"/>
      </rPr>
      <t>checked Results, Figs. 2B, 3A</t>
    </r>
  </si>
  <si>
    <r>
      <rPr>
        <sz val="9"/>
        <rFont val="Arial"/>
        <family val="2"/>
        <charset val="1"/>
      </rPr>
      <t xml:space="preserve">Not reported - no code or data availability statement - </t>
    </r>
    <r>
      <rPr>
        <b/>
        <sz val="9"/>
        <rFont val="Arial"/>
        <family val="2"/>
        <charset val="1"/>
      </rPr>
      <t>checked main text, end matter</t>
    </r>
  </si>
  <si>
    <t>Low</t>
  </si>
  <si>
    <r>
      <rPr>
        <sz val="9"/>
        <rFont val="Arial"/>
        <family val="2"/>
        <charset val="1"/>
      </rPr>
      <t xml:space="preserve">As a point of departure, the mathematical model developed in ref. 15 was extended to include resistance to docetaxel - </t>
    </r>
    <r>
      <rPr>
        <b/>
        <sz val="9"/>
        <rFont val="Arial"/>
        <family val="2"/>
        <charset val="1"/>
      </rPr>
      <t>The mathematical model</t>
    </r>
    <r>
      <rPr>
        <sz val="9"/>
        <rFont val="Arial"/>
        <family val="2"/>
        <charset val="1"/>
      </rPr>
      <t xml:space="preserve"> </t>
    </r>
    <r>
      <rPr>
        <b/>
        <sz val="9"/>
        <rFont val="Arial"/>
        <family val="2"/>
        <charset val="1"/>
      </rPr>
      <t xml:space="preserve">| </t>
    </r>
    <r>
      <rPr>
        <sz val="9"/>
        <rFont val="Arial"/>
        <family val="2"/>
        <charset val="1"/>
      </rPr>
      <t xml:space="preserve">Competition inequalities, carrying capacities, PSA production and the cost of docetaxel resistance are stated as assumptions without evidence - </t>
    </r>
    <r>
      <rPr>
        <b/>
        <sz val="9"/>
        <rFont val="Arial"/>
        <family val="2"/>
        <charset val="1"/>
      </rPr>
      <t>checked Major assumptions</t>
    </r>
  </si>
  <si>
    <r>
      <rPr>
        <sz val="9"/>
        <rFont val="Arial"/>
        <family val="2"/>
        <charset val="1"/>
      </rPr>
      <t xml:space="preserve">Intrinsic growth rates ... were parameterized using measured doubling times of corresponding cell lines - </t>
    </r>
    <r>
      <rPr>
        <b/>
        <sz val="9"/>
        <rFont val="Arial"/>
        <family val="2"/>
        <charset val="1"/>
      </rPr>
      <t>The mathematical model</t>
    </r>
    <r>
      <rPr>
        <sz val="9"/>
        <rFont val="Arial"/>
        <family val="2"/>
        <charset val="1"/>
      </rPr>
      <t xml:space="preserve"> </t>
    </r>
    <r>
      <rPr>
        <b/>
        <sz val="9"/>
        <rFont val="Arial"/>
        <family val="2"/>
        <charset val="1"/>
      </rPr>
      <t xml:space="preserve">| </t>
    </r>
    <r>
      <rPr>
        <sz val="9"/>
        <rFont val="Arial"/>
        <family val="2"/>
        <charset val="1"/>
      </rPr>
      <t xml:space="preserve">All values are reported, but growth rates are 10% of in vitro values, competition coefficients and carrying capacities are assumed, and only initial conditions were fitted - </t>
    </r>
    <r>
      <rPr>
        <b/>
        <sz val="9"/>
        <rFont val="Arial"/>
        <family val="2"/>
        <charset val="1"/>
      </rPr>
      <t>checked Methods, Fig. 3 legend</t>
    </r>
  </si>
  <si>
    <r>
      <rPr>
        <sz val="9"/>
        <rFont val="Arial"/>
        <family val="2"/>
        <charset val="1"/>
      </rPr>
      <t xml:space="preserve">For more discussion on the robustness and sensitivity of chosen competition parameters, we direct the curious reader to ref. 30 - </t>
    </r>
    <r>
      <rPr>
        <b/>
        <sz val="9"/>
        <rFont val="Arial"/>
        <family val="2"/>
        <charset val="1"/>
      </rPr>
      <t>The mathematical model</t>
    </r>
    <r>
      <rPr>
        <sz val="9"/>
        <rFont val="Arial"/>
        <family val="2"/>
        <charset val="1"/>
      </rPr>
      <t xml:space="preserve"> </t>
    </r>
    <r>
      <rPr>
        <b/>
        <sz val="9"/>
        <rFont val="Arial"/>
        <family val="2"/>
        <charset val="1"/>
      </rPr>
      <t xml:space="preserve">| </t>
    </r>
    <r>
      <rPr>
        <sz val="9"/>
        <rFont val="Arial"/>
        <family val="2"/>
        <charset val="1"/>
      </rPr>
      <t xml:space="preserve">Only docetaxel timing and the initial T-/- population (5 orders of magnitude) were varied; no formal sensitivity analysis - </t>
    </r>
    <r>
      <rPr>
        <b/>
        <sz val="9"/>
        <rFont val="Arial"/>
        <family val="2"/>
        <charset val="1"/>
      </rPr>
      <t>checked Results, Fig. 4-5</t>
    </r>
  </si>
  <si>
    <r>
      <rPr>
        <sz val="9"/>
        <rFont val="Arial"/>
        <family val="2"/>
        <charset val="1"/>
      </rPr>
      <t xml:space="preserve">Model fitting of adaptive abiraterone (dashed red lines) recapitulates the PSA data (black dots) in each patient by varying only initial conditions - </t>
    </r>
    <r>
      <rPr>
        <b/>
        <sz val="9"/>
        <rFont val="Arial"/>
        <family val="2"/>
        <charset val="1"/>
      </rPr>
      <t>Results</t>
    </r>
    <r>
      <rPr>
        <sz val="9"/>
        <rFont val="Arial"/>
        <family val="2"/>
        <charset val="1"/>
      </rPr>
      <t xml:space="preserve"> </t>
    </r>
    <r>
      <rPr>
        <b/>
        <sz val="9"/>
        <rFont val="Arial"/>
        <family val="2"/>
        <charset val="1"/>
      </rPr>
      <t xml:space="preserve">| </t>
    </r>
    <r>
      <rPr>
        <sz val="9"/>
        <rFont val="Arial"/>
        <family val="2"/>
        <charset val="1"/>
      </rPr>
      <t xml:space="preserve">Fitted to PSA of 2 of 4 progressed trial patients; days-gained predictions are counterfactual and untested - </t>
    </r>
    <r>
      <rPr>
        <b/>
        <sz val="9"/>
        <rFont val="Arial"/>
        <family val="2"/>
        <charset val="1"/>
      </rPr>
      <t>checked Results, Discussion</t>
    </r>
  </si>
  <si>
    <r>
      <rPr>
        <sz val="9"/>
        <rFont val="Arial"/>
        <family val="2"/>
        <charset val="1"/>
      </rPr>
      <t xml:space="preserve">The model accurately recapitulates time to relapse due to resistant T- population - </t>
    </r>
    <r>
      <rPr>
        <b/>
        <sz val="9"/>
        <rFont val="Arial"/>
        <family val="2"/>
        <charset val="1"/>
      </rPr>
      <t>Fig. 5 legend</t>
    </r>
    <r>
      <rPr>
        <sz val="9"/>
        <rFont val="Arial"/>
        <family val="2"/>
        <charset val="1"/>
      </rPr>
      <t xml:space="preserve"> </t>
    </r>
    <r>
      <rPr>
        <b/>
        <sz val="9"/>
        <rFont val="Arial"/>
        <family val="2"/>
        <charset val="1"/>
      </rPr>
      <t xml:space="preserve">| </t>
    </r>
    <r>
      <rPr>
        <sz val="9"/>
        <rFont val="Arial"/>
        <family val="2"/>
        <charset val="1"/>
      </rPr>
      <t xml:space="preserve">No goodness-of-fit metric reported - </t>
    </r>
    <r>
      <rPr>
        <b/>
        <sz val="9"/>
        <rFont val="Arial"/>
        <family val="2"/>
        <charset val="1"/>
      </rPr>
      <t>checked Results</t>
    </r>
  </si>
  <si>
    <r>
      <rPr>
        <sz val="9"/>
        <rFont val="Arial"/>
        <family val="2"/>
        <charset val="1"/>
      </rPr>
      <t xml:space="preserve">Not reported in the article; a Zenodo record with the article title exists (record 3672473, not opened) - upgrade to 2 if it holds the model code - </t>
    </r>
    <r>
      <rPr>
        <b/>
        <sz val="9"/>
        <rFont val="Arial"/>
        <family val="2"/>
        <charset val="1"/>
      </rPr>
      <t>checked end matter, Zenodo search</t>
    </r>
  </si>
  <si>
    <r>
      <rPr>
        <sz val="9"/>
        <rFont val="Arial"/>
        <family val="2"/>
        <charset val="1"/>
      </rPr>
      <t xml:space="preserve">we introduce a three-component replicator system with a prisoner's dilemma payoff matrix (West et al., 2016b) to model the three relevant subclonal populations: healthy cells (H), sensitive cells (S), and resistant cells - </t>
    </r>
    <r>
      <rPr>
        <b/>
        <sz val="9"/>
        <rFont val="Arial"/>
        <family val="2"/>
        <charset val="1"/>
      </rPr>
      <t>1. Introduction</t>
    </r>
    <r>
      <rPr>
        <sz val="9"/>
        <rFont val="Arial"/>
        <family val="2"/>
        <charset val="1"/>
      </rPr>
      <t xml:space="preserve"> </t>
    </r>
    <r>
      <rPr>
        <b/>
        <sz val="9"/>
        <rFont val="Arial"/>
        <family val="2"/>
        <charset val="1"/>
      </rPr>
      <t xml:space="preserve">| </t>
    </r>
    <r>
      <rPr>
        <sz val="9"/>
        <rFont val="Arial"/>
        <family val="2"/>
        <charset val="1"/>
      </rPr>
      <t xml:space="preserve">Pre-existing mutations that are responsible for conferring resistance may be associated with a phenotypic cost, or a reduced fitness (Gatenby et al., 2011; 2009) - </t>
    </r>
    <r>
      <rPr>
        <b/>
        <sz val="9"/>
        <rFont val="Arial"/>
        <family val="2"/>
        <charset val="1"/>
      </rPr>
      <t>1. Introduction</t>
    </r>
    <r>
      <rPr>
        <sz val="9"/>
        <rFont val="Arial"/>
        <family val="2"/>
        <charset val="1"/>
      </rPr>
      <t xml:space="preserve"> </t>
    </r>
    <r>
      <rPr>
        <b/>
        <sz val="9"/>
        <rFont val="Arial"/>
        <family val="2"/>
        <charset val="1"/>
      </rPr>
      <t xml:space="preserve">| </t>
    </r>
    <r>
      <rPr>
        <sz val="9"/>
        <rFont val="Arial"/>
        <family val="2"/>
        <charset val="1"/>
      </rPr>
      <t xml:space="preserve">Game-theoretic abstraction: payoffs represent relative fitness, not measured biology - </t>
    </r>
    <r>
      <rPr>
        <b/>
        <sz val="9"/>
        <rFont val="Arial"/>
        <family val="2"/>
        <charset val="1"/>
      </rPr>
      <t>checked Section 2</t>
    </r>
  </si>
  <si>
    <r>
      <rPr>
        <sz val="9"/>
        <rFont val="Arial"/>
        <family val="2"/>
        <charset val="1"/>
      </rPr>
      <t xml:space="preserve">The 3 x 3 payoff matrix is constructed as a standard prisoner's dilemma ... h &gt; a &gt; j &gt; b, l &gt; a &gt; n &gt; o - </t>
    </r>
    <r>
      <rPr>
        <b/>
        <sz val="9"/>
        <rFont val="Arial"/>
        <family val="2"/>
        <charset val="1"/>
      </rPr>
      <t>2. Model, Eq. (8)</t>
    </r>
    <r>
      <rPr>
        <sz val="9"/>
        <rFont val="Arial"/>
        <family val="2"/>
        <charset val="1"/>
      </rPr>
      <t xml:space="preserve"> </t>
    </r>
    <r>
      <rPr>
        <b/>
        <sz val="9"/>
        <rFont val="Arial"/>
        <family val="2"/>
        <charset val="1"/>
      </rPr>
      <t xml:space="preserve">| </t>
    </r>
    <r>
      <rPr>
        <sz val="9"/>
        <rFont val="Arial"/>
        <family val="2"/>
        <charset val="1"/>
      </rPr>
      <t xml:space="preserve">Data was fit by parameter sweep of cost (alpha - beta), initial fractional resistance f and selection pressure w - </t>
    </r>
    <r>
      <rPr>
        <b/>
        <sz val="9"/>
        <rFont val="Arial"/>
        <family val="2"/>
        <charset val="1"/>
      </rPr>
      <t>Fig. 3 legend</t>
    </r>
    <r>
      <rPr>
        <sz val="9"/>
        <rFont val="Arial"/>
        <family val="2"/>
        <charset val="1"/>
      </rPr>
      <t xml:space="preserve"> </t>
    </r>
    <r>
      <rPr>
        <b/>
        <sz val="9"/>
        <rFont val="Arial"/>
        <family val="2"/>
        <charset val="1"/>
      </rPr>
      <t xml:space="preserve">| </t>
    </r>
    <r>
      <rPr>
        <sz val="9"/>
        <rFont val="Arial"/>
        <family val="2"/>
        <charset val="1"/>
      </rPr>
      <t xml:space="preserve">These values discussed in the literature are typically small, in the range w = 0.1 - 0.3 - </t>
    </r>
    <r>
      <rPr>
        <b/>
        <sz val="9"/>
        <rFont val="Arial"/>
        <family val="2"/>
        <charset val="1"/>
      </rPr>
      <t>2. Model</t>
    </r>
  </si>
  <si>
    <r>
      <rPr>
        <sz val="9"/>
        <rFont val="Arial"/>
        <family val="2"/>
        <charset val="1"/>
      </rPr>
      <t xml:space="preserve">similar control paradigms were simulated with error in administration times: slightly shorter time on therapy (1 day) - </t>
    </r>
    <r>
      <rPr>
        <b/>
        <sz val="9"/>
        <rFont val="Arial"/>
        <family val="2"/>
        <charset val="1"/>
      </rPr>
      <t>Fig. 7 legend, adaptive therapy</t>
    </r>
    <r>
      <rPr>
        <sz val="9"/>
        <rFont val="Arial"/>
        <family val="2"/>
        <charset val="1"/>
      </rPr>
      <t xml:space="preserve"> </t>
    </r>
    <r>
      <rPr>
        <b/>
        <sz val="9"/>
        <rFont val="Arial"/>
        <family val="2"/>
        <charset val="1"/>
      </rPr>
      <t xml:space="preserve">| </t>
    </r>
    <r>
      <rPr>
        <sz val="9"/>
        <rFont val="Arial"/>
        <family val="2"/>
        <charset val="1"/>
      </rPr>
      <t xml:space="preserve">Parameter sweeps and schedule robustness checks; no formal sensitivity or uncertainty analysis - </t>
    </r>
    <r>
      <rPr>
        <b/>
        <sz val="9"/>
        <rFont val="Arial"/>
        <family val="2"/>
        <charset val="1"/>
      </rPr>
      <t>checked Sections 3-4</t>
    </r>
  </si>
  <si>
    <r>
      <rPr>
        <sz val="9"/>
        <rFont val="Arial"/>
        <family val="2"/>
        <charset val="1"/>
      </rPr>
      <t xml:space="preserve">The model is shown to recapitulate prostate-specific antigen measurement data from three clinical trials for metastatic castration-resistant prostate cancer patients - </t>
    </r>
    <r>
      <rPr>
        <b/>
        <sz val="9"/>
        <rFont val="Arial"/>
        <family val="2"/>
        <charset val="1"/>
      </rPr>
      <t>Abstract</t>
    </r>
    <r>
      <rPr>
        <sz val="9"/>
        <rFont val="Arial"/>
        <family val="2"/>
        <charset val="1"/>
      </rPr>
      <t xml:space="preserve"> </t>
    </r>
    <r>
      <rPr>
        <b/>
        <sz val="9"/>
        <rFont val="Arial"/>
        <family val="2"/>
        <charset val="1"/>
      </rPr>
      <t xml:space="preserve">| </t>
    </r>
    <r>
      <rPr>
        <sz val="9"/>
        <rFont val="Arial"/>
        <family val="2"/>
        <charset val="1"/>
      </rPr>
      <t xml:space="preserve">Four representative patients per trial (12 in total) are fitted; no held-out data or prospective prediction - </t>
    </r>
    <r>
      <rPr>
        <b/>
        <sz val="9"/>
        <rFont val="Arial"/>
        <family val="2"/>
        <charset val="1"/>
      </rPr>
      <t>Fig. 3, Section 2</t>
    </r>
  </si>
  <si>
    <r>
      <rPr>
        <sz val="9"/>
        <rFont val="Arial"/>
        <family val="2"/>
        <charset val="1"/>
      </rPr>
      <t xml:space="preserve">Each patient is fit reasonably well with both models - </t>
    </r>
    <r>
      <rPr>
        <b/>
        <sz val="9"/>
        <rFont val="Arial"/>
        <family val="2"/>
        <charset val="1"/>
      </rPr>
      <t>Fig. 3 legend</t>
    </r>
    <r>
      <rPr>
        <sz val="9"/>
        <rFont val="Arial"/>
        <family val="2"/>
        <charset val="1"/>
      </rPr>
      <t xml:space="preserve"> </t>
    </r>
    <r>
      <rPr>
        <b/>
        <sz val="9"/>
        <rFont val="Arial"/>
        <family val="2"/>
        <charset val="1"/>
      </rPr>
      <t xml:space="preserve">| </t>
    </r>
    <r>
      <rPr>
        <sz val="9"/>
        <rFont val="Arial"/>
        <family val="2"/>
        <charset val="1"/>
      </rPr>
      <t xml:space="preserve">Fit judged visually; no goodness-of-fit statistic - </t>
    </r>
    <r>
      <rPr>
        <b/>
        <sz val="9"/>
        <rFont val="Arial"/>
        <family val="2"/>
        <charset val="1"/>
      </rPr>
      <t>checked Fig. 3, Section 2</t>
    </r>
  </si>
  <si>
    <r>
      <rPr>
        <sz val="9"/>
        <rFont val="Arial"/>
        <family val="2"/>
        <charset val="1"/>
      </rPr>
      <t xml:space="preserve">Prostate-specific antigen (PSA) measurement data ... were obtained through the Project Data Sphere open data portal (https://www.projectdatasphere.org) - </t>
    </r>
    <r>
      <rPr>
        <b/>
        <sz val="9"/>
        <rFont val="Arial"/>
        <family val="2"/>
        <charset val="1"/>
      </rPr>
      <t>1. Introduction</t>
    </r>
    <r>
      <rPr>
        <sz val="9"/>
        <rFont val="Arial"/>
        <family val="2"/>
        <charset val="1"/>
      </rPr>
      <t xml:space="preserve"> </t>
    </r>
    <r>
      <rPr>
        <b/>
        <sz val="9"/>
        <rFont val="Arial"/>
        <family val="2"/>
        <charset val="1"/>
      </rPr>
      <t xml:space="preserve">| </t>
    </r>
    <r>
      <rPr>
        <sz val="9"/>
        <rFont val="Arial"/>
        <family val="2"/>
        <charset val="1"/>
      </rPr>
      <t xml:space="preserve">Third-party open trial data only; no code or model-output availability statement - </t>
    </r>
    <r>
      <rPr>
        <b/>
        <sz val="9"/>
        <rFont val="Arial"/>
        <family val="2"/>
        <charset val="1"/>
      </rPr>
      <t>checked end matter</t>
    </r>
  </si>
  <si>
    <r>
      <rPr>
        <sz val="9"/>
        <rFont val="Arial"/>
        <family val="2"/>
        <charset val="1"/>
      </rPr>
      <t xml:space="preserve">From this interactome we estimated the baseline initial conditions ... and parameterized the interaction rates between them - </t>
    </r>
    <r>
      <rPr>
        <b/>
        <sz val="9"/>
        <rFont val="Arial"/>
        <family val="2"/>
        <charset val="1"/>
      </rPr>
      <t>Designing a mCRPC-Bone Microenvironment Interactome</t>
    </r>
    <r>
      <rPr>
        <sz val="9"/>
        <rFont val="Arial"/>
        <family val="2"/>
        <charset val="1"/>
      </rPr>
      <t xml:space="preserve"> </t>
    </r>
    <r>
      <rPr>
        <b/>
        <sz val="9"/>
        <rFont val="Arial"/>
        <family val="2"/>
        <charset val="1"/>
      </rPr>
      <t xml:space="preserve">| </t>
    </r>
    <r>
      <rPr>
        <sz val="9"/>
        <rFont val="Arial"/>
        <family val="2"/>
        <charset val="1"/>
      </rPr>
      <t xml:space="preserve">Linear first-order ODEs and death at bone-marrow capacity are asserted; drug effects cited to pre-clinical studies [22-30] - </t>
    </r>
    <r>
      <rPr>
        <b/>
        <sz val="9"/>
        <rFont val="Arial"/>
        <family val="2"/>
        <charset val="1"/>
      </rPr>
      <t>checked model description, Table 1</t>
    </r>
  </si>
  <si>
    <r>
      <rPr>
        <sz val="9"/>
        <rFont val="Arial"/>
        <family val="2"/>
        <charset val="1"/>
      </rPr>
      <t xml:space="preserve">in cases where the information available was abstract or missing, we used practical estimates and assumptions (Table 1) - </t>
    </r>
    <r>
      <rPr>
        <b/>
        <sz val="9"/>
        <rFont val="Arial"/>
        <family val="2"/>
        <charset val="1"/>
      </rPr>
      <t>Designing and Parameterizing the mCRPC Computational Model</t>
    </r>
    <r>
      <rPr>
        <sz val="9"/>
        <rFont val="Arial"/>
        <family val="2"/>
        <charset val="1"/>
      </rPr>
      <t xml:space="preserve"> </t>
    </r>
    <r>
      <rPr>
        <b/>
        <sz val="9"/>
        <rFont val="Arial"/>
        <family val="2"/>
        <charset val="1"/>
      </rPr>
      <t xml:space="preserve">| </t>
    </r>
    <r>
      <rPr>
        <sz val="9"/>
        <rFont val="Arial"/>
        <family val="2"/>
        <charset val="1"/>
      </rPr>
      <t xml:space="preserve">Table 1 gives value, unit and source for every parameter, but about seven are marked as assumed with no empirical basis - </t>
    </r>
    <r>
      <rPr>
        <b/>
        <sz val="9"/>
        <rFont val="Arial"/>
        <family val="2"/>
        <charset val="1"/>
      </rPr>
      <t>checked Table 1</t>
    </r>
  </si>
  <si>
    <r>
      <rPr>
        <sz val="9"/>
        <rFont val="Arial"/>
        <family val="2"/>
        <charset val="1"/>
      </rPr>
      <t xml:space="preserve">Not reported - no sensitivity or uncertainty analysis; three hypothetical patient compositions only - </t>
    </r>
    <r>
      <rPr>
        <b/>
        <sz val="9"/>
        <rFont val="Arial"/>
        <family val="2"/>
        <charset val="1"/>
      </rPr>
      <t>checked full text</t>
    </r>
  </si>
  <si>
    <r>
      <rPr>
        <sz val="9"/>
        <rFont val="Arial"/>
        <family val="2"/>
        <charset val="1"/>
      </rPr>
      <t xml:space="preserve">To validate the model outputs, retrospective biopsies from patients with mCRPC ... can be utilized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Validation proposed, not done; agreement with clinical practice is at the level of conclusions only - </t>
    </r>
    <r>
      <rPr>
        <b/>
        <sz val="9"/>
        <rFont val="Arial"/>
        <family val="2"/>
        <charset val="1"/>
      </rPr>
      <t>checked Results, Discussion</t>
    </r>
  </si>
  <si>
    <r>
      <rPr>
        <sz val="9"/>
        <rFont val="Arial"/>
        <family val="2"/>
        <charset val="1"/>
      </rPr>
      <t xml:space="preserve">Not reported - no agreement metric - </t>
    </r>
    <r>
      <rPr>
        <b/>
        <sz val="9"/>
        <rFont val="Arial"/>
        <family val="2"/>
        <charset val="1"/>
      </rPr>
      <t>checked full text</t>
    </r>
  </si>
  <si>
    <r>
      <rPr>
        <sz val="9"/>
        <rFont val="Arial"/>
        <family val="2"/>
        <charset val="1"/>
      </rPr>
      <t xml:space="preserve">Not reported - no code or data availability statement; equations not reproduced in the PMC text - </t>
    </r>
    <r>
      <rPr>
        <b/>
        <sz val="9"/>
        <rFont val="Arial"/>
        <family val="2"/>
        <charset val="1"/>
      </rPr>
      <t>checked end matter</t>
    </r>
  </si>
  <si>
    <r>
      <rPr>
        <sz val="9"/>
        <rFont val="Arial"/>
        <family val="2"/>
        <charset val="1"/>
      </rPr>
      <t xml:space="preserve">dysregulated Endo180 expression through the TGFb-TGFbR-SMAD2/3 signalling pathway has been shown experimentally to make an essential contribution to bone destruction as well as tumour cell growth - </t>
    </r>
    <r>
      <rPr>
        <b/>
        <sz val="9"/>
        <rFont val="Arial"/>
        <family val="2"/>
        <charset val="1"/>
      </rPr>
      <t>5. Conclusion</t>
    </r>
    <r>
      <rPr>
        <sz val="9"/>
        <rFont val="Arial"/>
        <family val="2"/>
        <charset val="1"/>
      </rPr>
      <t xml:space="preserve"> </t>
    </r>
    <r>
      <rPr>
        <b/>
        <sz val="9"/>
        <rFont val="Arial"/>
        <family val="2"/>
        <charset val="1"/>
      </rPr>
      <t xml:space="preserve">| </t>
    </r>
    <r>
      <rPr>
        <sz val="9"/>
        <rFont val="Arial"/>
        <family val="2"/>
        <charset val="1"/>
      </rPr>
      <t xml:space="preserve">followed the assumptions of Morshed et al. [60] so that type I and type II TGFb receptors ... - </t>
    </r>
    <r>
      <rPr>
        <b/>
        <sz val="9"/>
        <rFont val="Arial"/>
        <family val="2"/>
        <charset val="1"/>
      </rPr>
      <t>2. Model development</t>
    </r>
  </si>
  <si>
    <r>
      <rPr>
        <sz val="9"/>
        <rFont val="Arial"/>
        <family val="2"/>
        <charset val="1"/>
      </rPr>
      <t xml:space="preserve">The model parameters marked "calculation by GA" refer to unknown parameters where no corresponding experimental data available or those without direct biological meaning. The values of these parameters were calculated using a genetic algorithm (GA) - </t>
    </r>
    <r>
      <rPr>
        <b/>
        <sz val="9"/>
        <rFont val="Arial"/>
        <family val="2"/>
        <charset val="1"/>
      </rPr>
      <t>2.3 Model parameters</t>
    </r>
    <r>
      <rPr>
        <sz val="9"/>
        <rFont val="Arial"/>
        <family val="2"/>
        <charset val="1"/>
      </rPr>
      <t xml:space="preserve"> </t>
    </r>
    <r>
      <rPr>
        <b/>
        <sz val="9"/>
        <rFont val="Arial"/>
        <family val="2"/>
        <charset val="1"/>
      </rPr>
      <t xml:space="preserve">| </t>
    </r>
    <r>
      <rPr>
        <sz val="9"/>
        <rFont val="Arial"/>
        <family val="2"/>
        <charset val="1"/>
      </rPr>
      <t xml:space="preserve">The concentration of bone cells under normal conditions are set as outputs of GA, while the values of the unknown model parameters are set as inputs - </t>
    </r>
    <r>
      <rPr>
        <b/>
        <sz val="9"/>
        <rFont val="Arial"/>
        <family val="2"/>
        <charset val="1"/>
      </rPr>
      <t>3. Simulation results</t>
    </r>
  </si>
  <si>
    <r>
      <rPr>
        <sz val="9"/>
        <rFont val="Arial"/>
        <family val="2"/>
        <charset val="1"/>
      </rPr>
      <t xml:space="preserve">the production rate of Endo180 in tumour cells was varied between 50% and 150% of its initial base value - </t>
    </r>
    <r>
      <rPr>
        <b/>
        <sz val="9"/>
        <rFont val="Arial"/>
        <family val="2"/>
        <charset val="1"/>
      </rPr>
      <t>4. Discussion, Fig. 8</t>
    </r>
    <r>
      <rPr>
        <sz val="9"/>
        <rFont val="Arial"/>
        <family val="2"/>
        <charset val="1"/>
      </rPr>
      <t xml:space="preserve"> </t>
    </r>
    <r>
      <rPr>
        <b/>
        <sz val="9"/>
        <rFont val="Arial"/>
        <family val="2"/>
        <charset val="1"/>
      </rPr>
      <t xml:space="preserve">| </t>
    </r>
    <r>
      <rPr>
        <sz val="9"/>
        <rFont val="Arial"/>
        <family val="2"/>
        <charset val="1"/>
      </rPr>
      <t xml:space="preserve">One-parameter scenario variation (Endo180 production, TGFb production); no formal sensitivity or uncertainty analysis - </t>
    </r>
    <r>
      <rPr>
        <b/>
        <sz val="9"/>
        <rFont val="Arial"/>
        <family val="2"/>
        <charset val="1"/>
      </rPr>
      <t>checked Sections 3-4, Figs. 7-8</t>
    </r>
  </si>
  <si>
    <r>
      <rPr>
        <sz val="9"/>
        <rFont val="Arial"/>
        <family val="2"/>
        <charset val="1"/>
      </rPr>
      <t xml:space="preserve">experimentally measured fold change of 0.43 in OBa and a 4.16 fold increase in OCa at 25 days following experimental implantation with tumour cells. This was broadly in line with the model which predicted a 0.41 change in OBa and a 3.584 change in OCa (Fig. 2) - </t>
    </r>
    <r>
      <rPr>
        <b/>
        <sz val="9"/>
        <rFont val="Arial"/>
        <family val="2"/>
        <charset val="1"/>
      </rPr>
      <t>4. Discussion</t>
    </r>
    <r>
      <rPr>
        <sz val="9"/>
        <rFont val="Arial"/>
        <family val="2"/>
        <charset val="1"/>
      </rPr>
      <t xml:space="preserve"> </t>
    </r>
    <r>
      <rPr>
        <b/>
        <sz val="9"/>
        <rFont val="Arial"/>
        <family val="2"/>
        <charset val="1"/>
      </rPr>
      <t xml:space="preserve">| </t>
    </r>
    <r>
      <rPr>
        <sz val="9"/>
        <rFont val="Arial"/>
        <family val="2"/>
        <charset val="1"/>
      </rPr>
      <t xml:space="preserve">GA was fitted to cancer-free steady-state cell concentrations; the tumour-bearing mouse data (Secondini 2011, PCa osteolytic bone metastasis) were not used for calibration - </t>
    </r>
    <r>
      <rPr>
        <b/>
        <sz val="9"/>
        <rFont val="Arial"/>
        <family val="2"/>
        <charset val="1"/>
      </rPr>
      <t>checked 3. Simulation results</t>
    </r>
  </si>
  <si>
    <r>
      <rPr>
        <sz val="9"/>
        <rFont val="Arial"/>
        <family val="2"/>
        <charset val="1"/>
      </rPr>
      <t xml:space="preserve">a 0.41 change in OBa and a 3.584 change in OCa - </t>
    </r>
    <r>
      <rPr>
        <b/>
        <sz val="9"/>
        <rFont val="Arial"/>
        <family val="2"/>
        <charset val="1"/>
      </rPr>
      <t>4. Discussion</t>
    </r>
    <r>
      <rPr>
        <sz val="9"/>
        <rFont val="Arial"/>
        <family val="2"/>
        <charset val="1"/>
      </rPr>
      <t xml:space="preserve"> </t>
    </r>
    <r>
      <rPr>
        <b/>
        <sz val="9"/>
        <rFont val="Arial"/>
        <family val="2"/>
        <charset val="1"/>
      </rPr>
      <t xml:space="preserve">| </t>
    </r>
    <r>
      <rPr>
        <sz val="9"/>
        <rFont val="Arial"/>
        <family val="2"/>
        <charset val="1"/>
      </rPr>
      <t xml:space="preserve">Point comparison of two fold-changes; no error metric - </t>
    </r>
    <r>
      <rPr>
        <b/>
        <sz val="9"/>
        <rFont val="Arial"/>
        <family val="2"/>
        <charset val="1"/>
      </rPr>
      <t>checked Discussion, Fig. 2</t>
    </r>
  </si>
  <si>
    <r>
      <rPr>
        <sz val="9"/>
        <rFont val="Arial"/>
        <family val="2"/>
        <charset val="1"/>
      </rPr>
      <t xml:space="preserve">MATLAB code is available at https://pan.baidu.com/s/1gFtKIrpzJelXcCBO5Qew1g - </t>
    </r>
    <r>
      <rPr>
        <b/>
        <sz val="9"/>
        <rFont val="Arial"/>
        <family val="2"/>
        <charset val="1"/>
      </rPr>
      <t>Data accessibility</t>
    </r>
    <r>
      <rPr>
        <sz val="9"/>
        <rFont val="Arial"/>
        <family val="2"/>
        <charset val="1"/>
      </rPr>
      <t xml:space="preserve"> </t>
    </r>
    <r>
      <rPr>
        <b/>
        <sz val="9"/>
        <rFont val="Arial"/>
        <family val="2"/>
        <charset val="1"/>
      </rPr>
      <t xml:space="preserve">| </t>
    </r>
    <r>
      <rPr>
        <sz val="9"/>
        <rFont val="Arial"/>
        <family val="2"/>
        <charset val="1"/>
      </rPr>
      <t xml:space="preserve">Personal cloud-drive link, not an archival repository; contents not verified - </t>
    </r>
    <r>
      <rPr>
        <b/>
        <sz val="9"/>
        <rFont val="Arial"/>
        <family val="2"/>
        <charset val="1"/>
      </rPr>
      <t>Data accessibility</t>
    </r>
  </si>
  <si>
    <r>
      <rPr>
        <sz val="9"/>
        <color rgb="FF000000"/>
        <rFont val="Arial"/>
        <family val="2"/>
        <charset val="1"/>
      </rPr>
      <t xml:space="preserve">Since Rad223 effect is distance-dependent [8], we opted for an Agent-Based Model - </t>
    </r>
    <r>
      <rPr>
        <b/>
        <sz val="9"/>
        <rFont val="Arial"/>
        <family val="2"/>
        <charset val="1"/>
      </rPr>
      <t>Background</t>
    </r>
  </si>
  <si>
    <r>
      <rPr>
        <sz val="9"/>
        <color rgb="FF000000"/>
        <rFont val="Arial"/>
        <family val="2"/>
        <charset val="1"/>
      </rPr>
      <t xml:space="preserve">Calibrated from in vivo-derived data obtained from in house murine experiments -  </t>
    </r>
    <r>
      <rPr>
        <b/>
        <sz val="9"/>
        <rFont val="Arial"/>
        <family val="2"/>
        <charset val="1"/>
      </rPr>
      <t>Background</t>
    </r>
    <r>
      <rPr>
        <sz val="9"/>
        <color rgb="FF000000"/>
        <rFont val="Arial"/>
        <family val="2"/>
        <charset val="1"/>
      </rPr>
      <t xml:space="preserve"> </t>
    </r>
    <r>
      <rPr>
        <b/>
        <sz val="9"/>
        <color theme="3" tint="0.39967040009765925"/>
        <rFont val="Arial"/>
        <family val="2"/>
        <charset val="1"/>
      </rPr>
      <t xml:space="preserve">| </t>
    </r>
    <r>
      <rPr>
        <sz val="9"/>
        <rFont val="Arial"/>
        <family val="2"/>
        <charset val="1"/>
      </rPr>
      <t>The driving coefficients were calibrated on ad hoc experimental observations retrieved from intravital microscopy and the outcome further validated, in vivo</t>
    </r>
    <r>
      <rPr>
        <b/>
        <sz val="9"/>
        <color theme="3" tint="0.39967040009765925"/>
        <rFont val="Arial"/>
        <family val="2"/>
        <charset val="1"/>
      </rPr>
      <t xml:space="preserve"> - </t>
    </r>
    <r>
      <rPr>
        <b/>
        <sz val="9"/>
        <rFont val="Arial"/>
        <family val="2"/>
        <charset val="1"/>
      </rPr>
      <t>Methods</t>
    </r>
  </si>
  <si>
    <r>
      <rPr>
        <sz val="9"/>
        <color rgb="FF000000"/>
        <rFont val="Arial"/>
        <family val="2"/>
        <charset val="1"/>
      </rPr>
      <t xml:space="preserve">For this purpose, a mono-parametric linear sensitivity analysis was carried out on the [8 × 7] lesion - </t>
    </r>
    <r>
      <rPr>
        <b/>
        <sz val="9"/>
        <rFont val="Arial"/>
        <family val="2"/>
        <charset val="1"/>
      </rPr>
      <t>Sensitivity analysis</t>
    </r>
  </si>
  <si>
    <r>
      <rPr>
        <sz val="9"/>
        <color rgb="FF000000"/>
        <rFont val="Arial"/>
        <family val="2"/>
        <charset val="1"/>
      </rPr>
      <t xml:space="preserve">To validate the output of the ABM, we compared in silico and in vivo tumor growth curves at the baseline - </t>
    </r>
    <r>
      <rPr>
        <b/>
        <sz val="9"/>
        <color rgb="FF000000"/>
        <rFont val="Arial"/>
        <family val="2"/>
        <charset val="1"/>
      </rPr>
      <t>Model Validation</t>
    </r>
    <r>
      <rPr>
        <sz val="9"/>
        <color rgb="FF000000"/>
        <rFont val="Arial"/>
        <family val="2"/>
        <charset val="1"/>
      </rPr>
      <t xml:space="preserve"> </t>
    </r>
    <r>
      <rPr>
        <b/>
        <sz val="9"/>
        <color theme="3" tint="0.39967040009765925"/>
        <rFont val="Arial"/>
        <family val="2"/>
        <charset val="1"/>
      </rPr>
      <t xml:space="preserve">| </t>
    </r>
    <r>
      <rPr>
        <sz val="9"/>
        <rFont val="Arial"/>
        <family val="2"/>
        <charset val="1"/>
      </rPr>
      <t>Then, tumor-bearing mice (n = 4) were treated with Rad223 or diluent (0.9% NaCl) and the therapeutic response monitored by intravital multiphoton microscopy through a window system implanted on the back of the mouse (Fig. 1a)</t>
    </r>
    <r>
      <rPr>
        <sz val="9"/>
        <color rgb="FF000000"/>
        <rFont val="Arial"/>
        <family val="2"/>
        <charset val="1"/>
      </rPr>
      <t xml:space="preserve"> - </t>
    </r>
    <r>
      <rPr>
        <b/>
        <sz val="9"/>
        <color rgb="FF000000"/>
        <rFont val="Arial"/>
        <family val="2"/>
        <charset val="1"/>
      </rPr>
      <t>Intravital imaging studies</t>
    </r>
  </si>
  <si>
    <r>
      <rPr>
        <sz val="9"/>
        <color rgb="FF000000"/>
        <rFont val="Arial"/>
        <family val="2"/>
        <charset val="1"/>
      </rPr>
      <t xml:space="preserve">To quantitatively evaluate the distance between our model and preclinical reality, we calculated the Normalized Root Mean Square Error (NRMSE) - </t>
    </r>
    <r>
      <rPr>
        <b/>
        <sz val="9"/>
        <color rgb="FF000000"/>
        <rFont val="Arial"/>
        <family val="2"/>
        <charset val="1"/>
      </rPr>
      <t>Model Validation</t>
    </r>
  </si>
  <si>
    <r>
      <rPr>
        <sz val="9"/>
        <color rgb="FF000000"/>
        <rFont val="Arial"/>
        <family val="2"/>
        <charset val="1"/>
      </rPr>
      <t xml:space="preserve">The authors declare that all relevant data supporting the findings of this study are available within the paper and from corresponding author upon reasonable request. Computational code will be provided from corresponding author upon reasonable request - </t>
    </r>
    <r>
      <rPr>
        <b/>
        <sz val="9"/>
        <color rgb="FF000000"/>
        <rFont val="Arial"/>
        <family val="2"/>
        <charset val="1"/>
      </rPr>
      <t>Availability of data and materials.</t>
    </r>
  </si>
  <si>
    <r>
      <rPr>
        <sz val="9"/>
        <rFont val="Arial"/>
        <family val="2"/>
        <charset val="1"/>
      </rPr>
      <t xml:space="preserve">Through a bottom-up approach, the biological rules recorded in vivo (Figure 3E-G) were implemented to simulate the zonal therapy effects relative to the tumor-bone interface - </t>
    </r>
    <r>
      <rPr>
        <b/>
        <sz val="9"/>
        <rFont val="Arial"/>
        <family val="2"/>
        <charset val="1"/>
      </rPr>
      <t>In Silico Modeling of Topology and Efficacy of Rad-223 Response</t>
    </r>
    <r>
      <rPr>
        <sz val="9"/>
        <rFont val="Arial"/>
        <family val="2"/>
        <charset val="1"/>
      </rPr>
      <t xml:space="preserve"> </t>
    </r>
    <r>
      <rPr>
        <b/>
        <sz val="9"/>
        <rFont val="Arial"/>
        <family val="2"/>
        <charset val="1"/>
      </rPr>
      <t xml:space="preserve">| </t>
    </r>
    <r>
      <rPr>
        <sz val="9"/>
        <rFont val="Arial"/>
        <family val="2"/>
        <charset val="1"/>
      </rPr>
      <t xml:space="preserve">Rad-223 ... emits alpha particles with locally high energy but limited tissue penetrance (&lt;100 um) (3,5) - </t>
    </r>
    <r>
      <rPr>
        <b/>
        <sz val="9"/>
        <rFont val="Arial"/>
        <family val="2"/>
        <charset val="1"/>
      </rPr>
      <t>Introduction</t>
    </r>
  </si>
  <si>
    <r>
      <rPr>
        <sz val="9"/>
        <rFont val="Arial"/>
        <family val="2"/>
        <charset val="1"/>
      </rPr>
      <t xml:space="preserve">we attributed probabilities of mitosis, apoptosis, or G1/S/G2 (interphase) nuclei to tumor cells based on their distance from bone and the temporal decay of Rad-223 (Figure 4E) to reflect frequencies retrieved from Rad-223-treated mice (Figure 3E-G) - </t>
    </r>
    <r>
      <rPr>
        <b/>
        <sz val="9"/>
        <rFont val="Arial"/>
        <family val="2"/>
        <charset val="1"/>
      </rPr>
      <t>In Silico Modeling of Topology and Efficacy of Rad-223 Response</t>
    </r>
    <r>
      <rPr>
        <sz val="9"/>
        <rFont val="Arial"/>
        <family val="2"/>
        <charset val="1"/>
      </rPr>
      <t xml:space="preserve"> </t>
    </r>
    <r>
      <rPr>
        <b/>
        <sz val="9"/>
        <rFont val="Arial"/>
        <family val="2"/>
        <charset val="1"/>
      </rPr>
      <t xml:space="preserve">| </t>
    </r>
    <r>
      <rPr>
        <sz val="9"/>
        <rFont val="Arial"/>
        <family val="2"/>
        <charset val="1"/>
      </rPr>
      <t xml:space="preserve">No parameter table in the main text; remaining model details are in the Supplementary Methods (not read) - </t>
    </r>
    <r>
      <rPr>
        <b/>
        <sz val="9"/>
        <rFont val="Arial"/>
        <family val="2"/>
        <charset val="1"/>
      </rPr>
      <t>checked Methods, Figure 4</t>
    </r>
  </si>
  <si>
    <r>
      <rPr>
        <sz val="9"/>
        <rFont val="Arial"/>
        <family val="2"/>
        <charset val="1"/>
      </rPr>
      <t xml:space="preserve">Data show the means from 10 simulations - </t>
    </r>
    <r>
      <rPr>
        <b/>
        <sz val="9"/>
        <rFont val="Arial"/>
        <family val="2"/>
        <charset val="1"/>
      </rPr>
      <t>Figure 5 legend</t>
    </r>
    <r>
      <rPr>
        <sz val="9"/>
        <rFont val="Arial"/>
        <family val="2"/>
        <charset val="1"/>
      </rPr>
      <t xml:space="preserve"> </t>
    </r>
    <r>
      <rPr>
        <b/>
        <sz val="9"/>
        <rFont val="Arial"/>
        <family val="2"/>
        <charset val="1"/>
      </rPr>
      <t xml:space="preserve">| </t>
    </r>
    <r>
      <rPr>
        <sz val="9"/>
        <rFont val="Arial"/>
        <family val="2"/>
        <charset val="1"/>
      </rPr>
      <t xml:space="preserve">n = 10-100 simulations per condition; stochastic replicates only, no sensitivity or uncertainty analysis of the probability functions - </t>
    </r>
    <r>
      <rPr>
        <b/>
        <sz val="9"/>
        <rFont val="Arial"/>
        <family val="2"/>
        <charset val="1"/>
      </rPr>
      <t>Abstract; checked Results, Figs. 4-5</t>
    </r>
  </si>
  <si>
    <r>
      <rPr>
        <sz val="9"/>
        <rFont val="Arial"/>
        <family val="2"/>
        <charset val="1"/>
      </rPr>
      <t xml:space="preserve">In silico simulations predicted greater efficacy of Rad-223 on single-cell lesions (eradication rate: 88.0%) and minimal effects on larger tumors ... as further confirmed in vivo for PC3 and C4-2B tumors - </t>
    </r>
    <r>
      <rPr>
        <b/>
        <sz val="9"/>
        <rFont val="Arial"/>
        <family val="2"/>
        <charset val="1"/>
      </rPr>
      <t>Abstract</t>
    </r>
    <r>
      <rPr>
        <sz val="9"/>
        <rFont val="Arial"/>
        <family val="2"/>
        <charset val="1"/>
      </rPr>
      <t xml:space="preserve"> </t>
    </r>
    <r>
      <rPr>
        <b/>
        <sz val="9"/>
        <rFont val="Arial"/>
        <family val="2"/>
        <charset val="1"/>
      </rPr>
      <t xml:space="preserve">| </t>
    </r>
    <r>
      <rPr>
        <sz val="9"/>
        <rFont val="Arial"/>
        <family val="2"/>
        <charset val="1"/>
      </rPr>
      <t xml:space="preserve">We then aimed to confirm the in silico prediction of the ability of Rad-223 to control or even eradicate small, but not large, bone tumors. Increasing numbers of PC3 cells expressing luciferase were administered into the tibia - </t>
    </r>
    <r>
      <rPr>
        <b/>
        <sz val="9"/>
        <rFont val="Arial"/>
        <family val="2"/>
        <charset val="1"/>
      </rPr>
      <t>In Vivo Validation of In Silico Predictions</t>
    </r>
  </si>
  <si>
    <r>
      <rPr>
        <sz val="9"/>
        <rFont val="Arial"/>
        <family val="2"/>
        <charset val="1"/>
      </rPr>
      <t xml:space="preserve">Tumor growth curves in silico (n = 10 simulations) and in vivo (PC3; n = 10 tibiae). Data represent the means (SD) - </t>
    </r>
    <r>
      <rPr>
        <b/>
        <sz val="9"/>
        <rFont val="Arial"/>
        <family val="2"/>
        <charset val="1"/>
      </rPr>
      <t>Figure 4D legend</t>
    </r>
    <r>
      <rPr>
        <sz val="9"/>
        <rFont val="Arial"/>
        <family val="2"/>
        <charset val="1"/>
      </rPr>
      <t xml:space="preserve"> </t>
    </r>
    <r>
      <rPr>
        <b/>
        <sz val="9"/>
        <rFont val="Arial"/>
        <family val="2"/>
        <charset val="1"/>
      </rPr>
      <t xml:space="preserve">| </t>
    </r>
    <r>
      <rPr>
        <sz val="9"/>
        <rFont val="Arial"/>
        <family val="2"/>
        <charset val="1"/>
      </rPr>
      <t xml:space="preserve">Model and in vivo results compared visually and by direction of effect; t-tests compare treated vs control mice, not model vs data - </t>
    </r>
    <r>
      <rPr>
        <b/>
        <sz val="9"/>
        <rFont val="Arial"/>
        <family val="2"/>
        <charset val="1"/>
      </rPr>
      <t>checked In Vivo Validation, Figs. 4D, 5-6</t>
    </r>
  </si>
  <si>
    <r>
      <rPr>
        <sz val="9"/>
        <rFont val="Arial"/>
        <family val="2"/>
        <charset val="1"/>
      </rPr>
      <t xml:space="preserve">The code is available from the corresponding authors upon reasonable request - </t>
    </r>
    <r>
      <rPr>
        <b/>
        <sz val="9"/>
        <rFont val="Arial"/>
        <family val="2"/>
        <charset val="1"/>
      </rPr>
      <t>Notes</t>
    </r>
  </si>
  <si>
    <r>
      <rPr>
        <sz val="9"/>
        <rFont val="Arial"/>
        <family val="2"/>
        <charset val="1"/>
      </rPr>
      <t xml:space="preserve">Consistent with both experimental data and the mathematical model in [37], we assume that OPG is only expressed on OBa - </t>
    </r>
    <r>
      <rPr>
        <b/>
        <sz val="9"/>
        <rFont val="Arial"/>
        <family val="2"/>
        <charset val="1"/>
      </rPr>
      <t>2. Model development, Eq. (12)</t>
    </r>
    <r>
      <rPr>
        <sz val="9"/>
        <rFont val="Arial"/>
        <family val="2"/>
        <charset val="1"/>
      </rPr>
      <t xml:space="preserve"> </t>
    </r>
    <r>
      <rPr>
        <b/>
        <sz val="9"/>
        <rFont val="Arial"/>
        <family val="2"/>
        <charset val="1"/>
      </rPr>
      <t xml:space="preserve">| </t>
    </r>
    <r>
      <rPr>
        <sz val="9"/>
        <rFont val="Arial"/>
        <family val="2"/>
        <charset val="1"/>
      </rPr>
      <t xml:space="preserve">The model modifies and extends several previously published mathematical investigations into tumor growth in the bone microenvironment - </t>
    </r>
    <r>
      <rPr>
        <b/>
        <sz val="9"/>
        <rFont val="Arial"/>
        <family val="2"/>
        <charset val="1"/>
      </rPr>
      <t>Discussion</t>
    </r>
  </si>
  <si>
    <r>
      <rPr>
        <sz val="9"/>
        <rFont val="Arial"/>
        <family val="2"/>
        <charset val="1"/>
      </rPr>
      <t xml:space="preserve">Many of the parameters for the bone remodeling model are available in the existing literature. We have used a variety of sources to parameterize this model. A complete list of parameters ... can be found in Table 3 - </t>
    </r>
    <r>
      <rPr>
        <b/>
        <sz val="9"/>
        <rFont val="Arial"/>
        <family val="2"/>
        <charset val="1"/>
      </rPr>
      <t>3.1 Steady state calculations and parameter estimation for bone</t>
    </r>
    <r>
      <rPr>
        <sz val="9"/>
        <rFont val="Arial"/>
        <family val="2"/>
        <charset val="1"/>
      </rPr>
      <t xml:space="preserve"> </t>
    </r>
    <r>
      <rPr>
        <b/>
        <sz val="9"/>
        <rFont val="Arial"/>
        <family val="2"/>
        <charset val="1"/>
      </rPr>
      <t xml:space="preserve">| </t>
    </r>
    <r>
      <rPr>
        <sz val="9"/>
        <rFont val="Arial"/>
        <family val="2"/>
        <charset val="1"/>
      </rPr>
      <t xml:space="preserve">although the PCe to PCl transition rate (nu_PC) is not known experimentally we assume that 1% transition per day - </t>
    </r>
    <r>
      <rPr>
        <b/>
        <sz val="9"/>
        <rFont val="Arial"/>
        <family val="2"/>
        <charset val="1"/>
      </rPr>
      <t>3.2 Parameter estimation for cancer dynamics</t>
    </r>
    <r>
      <rPr>
        <sz val="9"/>
        <rFont val="Arial"/>
        <family val="2"/>
        <charset val="1"/>
      </rPr>
      <t xml:space="preserve"> </t>
    </r>
    <r>
      <rPr>
        <b/>
        <sz val="9"/>
        <rFont val="Arial"/>
        <family val="2"/>
        <charset val="1"/>
      </rPr>
      <t xml:space="preserve">| </t>
    </r>
    <r>
      <rPr>
        <sz val="9"/>
        <rFont val="Arial"/>
        <family val="2"/>
        <charset val="1"/>
      </rPr>
      <t xml:space="preserve">We also use this data to compute the percentage differences in proliferation and apoptosis between the two cells types in order to estimate parameters for PCa growth in humans - </t>
    </r>
    <r>
      <rPr>
        <b/>
        <sz val="9"/>
        <rFont val="Arial"/>
        <family val="2"/>
        <charset val="1"/>
      </rPr>
      <t>3.2, Table 5</t>
    </r>
  </si>
  <si>
    <r>
      <rPr>
        <sz val="9"/>
        <rFont val="Arial"/>
        <family val="2"/>
        <charset val="1"/>
      </rPr>
      <t xml:space="preserve">We test this hypothesis through bifurcation analysis, sampling the low and high osteogenic states at different values of beta_LTGFb2, the maximum rate of PSA mediated activation of TGF-b - </t>
    </r>
    <r>
      <rPr>
        <b/>
        <sz val="9"/>
        <rFont val="Arial"/>
        <family val="2"/>
        <charset val="1"/>
      </rPr>
      <t>Results, Fig. 8</t>
    </r>
    <r>
      <rPr>
        <sz val="9"/>
        <rFont val="Arial"/>
        <family val="2"/>
        <charset val="1"/>
      </rPr>
      <t xml:space="preserve"> </t>
    </r>
    <r>
      <rPr>
        <b/>
        <sz val="9"/>
        <rFont val="Arial"/>
        <family val="2"/>
        <charset val="1"/>
      </rPr>
      <t xml:space="preserve">| </t>
    </r>
    <r>
      <rPr>
        <sz val="9"/>
        <rFont val="Arial"/>
        <family val="2"/>
        <charset val="1"/>
      </rPr>
      <t xml:space="preserve">One-parameter bifurcation analyses (Wnt production, PSA-mediated TGF-b activation); no global sensitivity or uncertainty analysis - </t>
    </r>
    <r>
      <rPr>
        <b/>
        <sz val="9"/>
        <rFont val="Arial"/>
        <family val="2"/>
        <charset val="1"/>
      </rPr>
      <t>checked Sections 3-4, Figs. 7-8</t>
    </r>
  </si>
  <si>
    <r>
      <rPr>
        <sz val="9"/>
        <rFont val="Arial"/>
        <family val="2"/>
        <charset val="1"/>
      </rPr>
      <t xml:space="preserve">As shown in Fig. 3, the final value for the RANKL/OPG ratio falls within 19.62 +/- 6.52, in agreement with [38] for late stage prostate cancer metastasis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in [38], they observed relatively constant calcium levels while the model presented here predicts vastly decreased calcium levels - </t>
    </r>
    <r>
      <rPr>
        <b/>
        <sz val="9"/>
        <rFont val="Arial"/>
        <family val="2"/>
        <charset val="1"/>
      </rPr>
      <t>Discussion</t>
    </r>
  </si>
  <si>
    <r>
      <rPr>
        <sz val="9"/>
        <rFont val="Arial"/>
        <family val="2"/>
        <charset val="1"/>
      </rPr>
      <t xml:space="preserve">the final value for the RANKL/OPG ratio falls within 19.62 +/- 6.52 -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Agreement judged as falling inside the reported mean +/- SD; no error metric - </t>
    </r>
    <r>
      <rPr>
        <b/>
        <sz val="9"/>
        <rFont val="Arial"/>
        <family val="2"/>
        <charset val="1"/>
      </rPr>
      <t>checked Discussion, Figs. 2-3</t>
    </r>
  </si>
  <si>
    <r>
      <rPr>
        <sz val="9"/>
        <rFont val="Arial"/>
        <family val="2"/>
        <charset val="1"/>
      </rPr>
      <t xml:space="preserve">Not reported - no code or data availability statement - </t>
    </r>
    <r>
      <rPr>
        <b/>
        <sz val="9"/>
        <rFont val="Arial"/>
        <family val="2"/>
        <charset val="1"/>
      </rPr>
      <t>checked full article, end matter</t>
    </r>
  </si>
  <si>
    <r>
      <rPr>
        <sz val="9"/>
        <rFont val="Arial"/>
        <family val="2"/>
        <charset val="1"/>
      </rPr>
      <t xml:space="preserve">This important finding was further supported by a number of clinical case studies including eight cases of non-seminomatous germ-cell testicular cancer [39] and three cases of melanoma [40, 41] - </t>
    </r>
    <r>
      <rPr>
        <b/>
        <sz val="9"/>
        <rFont val="Arial"/>
        <family val="2"/>
        <charset val="1"/>
      </rPr>
      <t>Hypotheses - The Whys and Wherefores</t>
    </r>
    <r>
      <rPr>
        <sz val="9"/>
        <rFont val="Arial"/>
        <family val="2"/>
        <charset val="1"/>
      </rPr>
      <t xml:space="preserve"> </t>
    </r>
    <r>
      <rPr>
        <b/>
        <sz val="9"/>
        <rFont val="Arial"/>
        <family val="2"/>
        <charset val="1"/>
      </rPr>
      <t xml:space="preserve">| </t>
    </r>
    <r>
      <rPr>
        <sz val="9"/>
        <rFont val="Arial"/>
        <family val="2"/>
        <charset val="1"/>
      </rPr>
      <t xml:space="preserve">We assume that latency times for different viable metastases are independent and identically distributed with some probability density function (pdf) f - </t>
    </r>
    <r>
      <rPr>
        <b/>
        <sz val="9"/>
        <rFont val="Arial"/>
        <family val="2"/>
        <charset val="1"/>
      </rPr>
      <t>Metastasis formation</t>
    </r>
  </si>
  <si>
    <r>
      <rPr>
        <sz val="9"/>
        <rFont val="Arial"/>
        <family val="2"/>
        <charset val="1"/>
      </rPr>
      <t xml:space="preserve">Parameters of the model are estimated from the data on volumes of primary tumor and metastases for a cohort of 12 prostate cancer patients diagnosed and treated at the Memorial Sloan-Kettering Cancer Center (MSKCC) - </t>
    </r>
    <r>
      <rPr>
        <b/>
        <sz val="9"/>
        <rFont val="Arial"/>
        <family val="2"/>
        <charset val="1"/>
      </rPr>
      <t>Two Paradigms of Cancer</t>
    </r>
    <r>
      <rPr>
        <sz val="9"/>
        <rFont val="Arial"/>
        <family val="2"/>
        <charset val="1"/>
      </rPr>
      <t xml:space="preserve"> </t>
    </r>
    <r>
      <rPr>
        <b/>
        <sz val="9"/>
        <rFont val="Arial"/>
        <family val="2"/>
        <charset val="1"/>
      </rPr>
      <t xml:space="preserve">| </t>
    </r>
    <r>
      <rPr>
        <sz val="9"/>
        <rFont val="Arial"/>
        <family val="2"/>
        <charset val="1"/>
      </rPr>
      <t xml:space="preserve">Optimal parameter values of the 6-parametric Full model along with the minimal values of -(log L)/n ... are presented in Table 2 - </t>
    </r>
    <r>
      <rPr>
        <b/>
        <sz val="9"/>
        <rFont val="Arial"/>
        <family val="2"/>
        <charset val="1"/>
      </rPr>
      <t>Results</t>
    </r>
  </si>
  <si>
    <r>
      <rPr>
        <sz val="9"/>
        <rFont val="Arial"/>
        <family val="2"/>
        <charset val="1"/>
      </rPr>
      <t xml:space="preserve">Therefore, identifiable parameters of a suitably parameterized model of the natural history of metastatic cancer ... can be estimated using the method of maximum likelihood - </t>
    </r>
    <r>
      <rPr>
        <b/>
        <sz val="9"/>
        <rFont val="Arial"/>
        <family val="2"/>
        <charset val="1"/>
      </rPr>
      <t>Theorem 1</t>
    </r>
    <r>
      <rPr>
        <sz val="9"/>
        <rFont val="Arial"/>
        <family val="2"/>
        <charset val="1"/>
      </rPr>
      <t xml:space="preserve"> </t>
    </r>
    <r>
      <rPr>
        <b/>
        <sz val="9"/>
        <rFont val="Arial"/>
        <family val="2"/>
        <charset val="1"/>
      </rPr>
      <t xml:space="preserve">| </t>
    </r>
    <r>
      <rPr>
        <sz val="9"/>
        <rFont val="Arial"/>
        <family val="2"/>
        <charset val="1"/>
      </rPr>
      <t xml:space="preserve">Identifiability shown analytically; no sensitivity analysis or confidence intervals seen - </t>
    </r>
    <r>
      <rPr>
        <b/>
        <sz val="9"/>
        <rFont val="Arial"/>
        <family val="2"/>
        <charset val="1"/>
      </rPr>
      <t>checked candidate passages</t>
    </r>
  </si>
  <si>
    <r>
      <rPr>
        <sz val="9"/>
        <rFont val="Arial"/>
        <family val="2"/>
        <charset val="1"/>
      </rPr>
      <t xml:space="preserve">Not reported - model fitted to each patient's metastasis volumes; no independent data used for testing - </t>
    </r>
    <r>
      <rPr>
        <b/>
        <sz val="9"/>
        <rFont val="Arial"/>
        <family val="2"/>
        <charset val="1"/>
      </rPr>
      <t>checked candidate passages</t>
    </r>
  </si>
  <si>
    <r>
      <rPr>
        <sz val="9"/>
        <rFont val="Arial"/>
        <family val="2"/>
        <charset val="1"/>
      </rPr>
      <t xml:space="preserve">Optimal parameter values ... along with the minimal values of -(log L)/n, where n is the number of bone metastases observed in a given patient - </t>
    </r>
    <r>
      <rPr>
        <b/>
        <sz val="9"/>
        <rFont val="Arial"/>
        <family val="2"/>
        <charset val="1"/>
      </rPr>
      <t>Results</t>
    </r>
    <r>
      <rPr>
        <sz val="9"/>
        <rFont val="Arial"/>
        <family val="2"/>
        <charset val="1"/>
      </rPr>
      <t xml:space="preserve"> </t>
    </r>
    <r>
      <rPr>
        <b/>
        <sz val="9"/>
        <rFont val="Arial"/>
        <family val="2"/>
        <charset val="1"/>
      </rPr>
      <t xml:space="preserve">| </t>
    </r>
    <r>
      <rPr>
        <sz val="9"/>
        <rFont val="Arial"/>
        <family val="2"/>
        <charset val="1"/>
      </rPr>
      <t xml:space="preserve">Likelihood of the fit on the calibration data only - </t>
    </r>
    <r>
      <rPr>
        <b/>
        <sz val="9"/>
        <rFont val="Arial"/>
        <family val="2"/>
        <charset val="1"/>
      </rPr>
      <t>Tables 2-3</t>
    </r>
  </si>
  <si>
    <r>
      <rPr>
        <sz val="9"/>
        <rFont val="Arial"/>
        <family val="2"/>
        <charset val="1"/>
      </rPr>
      <t xml:space="preserve">Not reported - no code or data availability statement - </t>
    </r>
    <r>
      <rPr>
        <b/>
        <sz val="9"/>
        <rFont val="Arial"/>
        <family val="2"/>
        <charset val="1"/>
      </rPr>
      <t>checked candidate passages, end matter</t>
    </r>
  </si>
  <si>
    <r>
      <rPr>
        <sz val="9"/>
        <rFont val="Arial"/>
        <family val="2"/>
        <charset val="1"/>
      </rPr>
      <t xml:space="preserve">Gompertz law is one of the most commonly used parsimonious laws of tumor growth accounting for this effect [5,6]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All other assumptions of the model are essentially mathematical in nature; they serve mathematical convenience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Exponential metastasis growth and exponentially distributed latency are assumed for parsimony, not evidenced - </t>
    </r>
    <r>
      <rPr>
        <b/>
        <sz val="9"/>
        <rFont val="Arial"/>
        <family val="2"/>
        <charset val="1"/>
      </rPr>
      <t>checked Sections 2, 4</t>
    </r>
  </si>
  <si>
    <r>
      <rPr>
        <sz val="9"/>
        <rFont val="Arial"/>
        <family val="2"/>
        <charset val="1"/>
      </rPr>
      <t xml:space="preserve">Parameters of the model were estimated from the age and volume of the primary tumor at surgery and volumes of detectable bone metastases - </t>
    </r>
    <r>
      <rPr>
        <b/>
        <sz val="9"/>
        <rFont val="Arial"/>
        <family val="2"/>
        <charset val="1"/>
      </rPr>
      <t>Abstract</t>
    </r>
    <r>
      <rPr>
        <sz val="9"/>
        <rFont val="Arial"/>
        <family val="2"/>
        <charset val="1"/>
      </rPr>
      <t xml:space="preserve"> </t>
    </r>
    <r>
      <rPr>
        <b/>
        <sz val="9"/>
        <rFont val="Arial"/>
        <family val="2"/>
        <charset val="1"/>
      </rPr>
      <t xml:space="preserve">| </t>
    </r>
    <r>
      <rPr>
        <sz val="9"/>
        <rFont val="Arial"/>
        <family val="2"/>
        <charset val="1"/>
      </rPr>
      <t xml:space="preserve">All six parameters reported with units for both patients; the metastasis volumes used for fitting are listed in full; fixed constants (m = 0.5 cm3, cell volume 1e-9 cm3) stated - </t>
    </r>
    <r>
      <rPr>
        <b/>
        <sz val="9"/>
        <rFont val="Arial"/>
        <family val="2"/>
        <charset val="1"/>
      </rPr>
      <t>checked Sections 2, 5, 7</t>
    </r>
  </si>
  <si>
    <r>
      <rPr>
        <sz val="9"/>
        <rFont val="Arial"/>
        <family val="2"/>
        <charset val="1"/>
      </rPr>
      <t xml:space="preserve">we plotted local and global profile functions of functional L - </t>
    </r>
    <r>
      <rPr>
        <b/>
        <sz val="9"/>
        <rFont val="Arial"/>
        <family val="2"/>
        <charset val="1"/>
      </rPr>
      <t>Section 7</t>
    </r>
    <r>
      <rPr>
        <sz val="9"/>
        <rFont val="Arial"/>
        <family val="2"/>
        <charset val="1"/>
      </rPr>
      <t xml:space="preserve"> </t>
    </r>
    <r>
      <rPr>
        <b/>
        <sz val="9"/>
        <rFont val="Arial"/>
        <family val="2"/>
        <charset val="1"/>
      </rPr>
      <t xml:space="preserve">| </t>
    </r>
    <r>
      <rPr>
        <sz val="9"/>
        <rFont val="Arial"/>
        <family val="2"/>
        <charset val="1"/>
      </rPr>
      <t xml:space="preserve">One-parameter-at-a-time profile likelihoods and multiple starting vectors; no confidence intervals or global sensitivity analysis - </t>
    </r>
    <r>
      <rPr>
        <b/>
        <sz val="9"/>
        <rFont val="Arial"/>
        <family val="2"/>
        <charset val="1"/>
      </rPr>
      <t>checked Section 7, Figs. 1-2</t>
    </r>
  </si>
  <si>
    <r>
      <rPr>
        <sz val="9"/>
        <rFont val="Arial"/>
        <family val="2"/>
        <charset val="1"/>
      </rPr>
      <t xml:space="preserve">Because model parameters were estimated based on the maximum likelihood criterion, goodness of fit provides an independent test - </t>
    </r>
    <r>
      <rPr>
        <b/>
        <sz val="9"/>
        <rFont val="Arial"/>
        <family val="2"/>
        <charset val="1"/>
      </rPr>
      <t>Model validation</t>
    </r>
    <r>
      <rPr>
        <sz val="9"/>
        <rFont val="Arial"/>
        <family val="2"/>
        <charset val="1"/>
      </rPr>
      <t xml:space="preserve"> </t>
    </r>
    <r>
      <rPr>
        <b/>
        <sz val="9"/>
        <rFont val="Arial"/>
        <family val="2"/>
        <charset val="1"/>
      </rPr>
      <t xml:space="preserve">| </t>
    </r>
    <r>
      <rPr>
        <sz val="9"/>
        <rFont val="Arial"/>
        <family val="2"/>
        <charset val="1"/>
      </rPr>
      <t xml:space="preserve">The CDF comparison uses the same metastasis volumes used for fitting; the check against the earlier exponential model is model-vs-model - </t>
    </r>
    <r>
      <rPr>
        <b/>
        <sz val="9"/>
        <rFont val="Arial"/>
        <family val="2"/>
        <charset val="1"/>
      </rPr>
      <t>checked Sections 7, 8</t>
    </r>
  </si>
  <si>
    <r>
      <rPr>
        <sz val="9"/>
        <rFont val="Arial"/>
        <family val="2"/>
        <charset val="1"/>
      </rPr>
      <t xml:space="preserve">The minimum value of the functional was L* = 75.228 - </t>
    </r>
    <r>
      <rPr>
        <b/>
        <sz val="9"/>
        <rFont val="Arial"/>
        <family val="2"/>
        <charset val="1"/>
      </rPr>
      <t>Results</t>
    </r>
    <r>
      <rPr>
        <sz val="9"/>
        <rFont val="Arial"/>
        <family val="2"/>
        <charset val="1"/>
      </rPr>
      <t xml:space="preserve"> </t>
    </r>
    <r>
      <rPr>
        <b/>
        <sz val="9"/>
        <rFont val="Arial"/>
        <family val="2"/>
        <charset val="1"/>
      </rPr>
      <t xml:space="preserve">| </t>
    </r>
    <r>
      <rPr>
        <sz val="9"/>
        <rFont val="Arial"/>
        <family val="2"/>
        <charset val="1"/>
      </rPr>
      <t xml:space="preserve">Negative log-likelihood and a visual CDF fit on the calibration data only; no metric for independent data - </t>
    </r>
    <r>
      <rPr>
        <b/>
        <sz val="9"/>
        <rFont val="Arial"/>
        <family val="2"/>
        <charset val="1"/>
      </rPr>
      <t>checked Section 8, Fig. 3</t>
    </r>
  </si>
  <si>
    <r>
      <rPr>
        <sz val="9"/>
        <rFont val="Arial"/>
        <family val="2"/>
        <charset val="1"/>
      </rPr>
      <t xml:space="preserve">Metastasis volumes for both patients are printed in the article; no code or data availability statement - </t>
    </r>
    <r>
      <rPr>
        <b/>
        <sz val="9"/>
        <rFont val="Arial"/>
        <family val="2"/>
        <charset val="1"/>
      </rPr>
      <t>checked Sections 5, end matter</t>
    </r>
  </si>
  <si>
    <r>
      <rPr>
        <sz val="9"/>
        <rFont val="Arial"/>
        <family val="2"/>
        <charset val="1"/>
      </rPr>
      <t xml:space="preserve">Bone is one of the richest reservoirs of TGF-b in the human body (700 pg/mg of bone tissue; ref. 10) - </t>
    </r>
    <r>
      <rPr>
        <b/>
        <sz val="9"/>
        <rFont val="Arial"/>
        <family val="2"/>
        <charset val="1"/>
      </rPr>
      <t>Quick Guide to Assumptions and Equations</t>
    </r>
    <r>
      <rPr>
        <sz val="9"/>
        <rFont val="Arial"/>
        <family val="2"/>
        <charset val="1"/>
      </rPr>
      <t xml:space="preserve"> </t>
    </r>
    <r>
      <rPr>
        <b/>
        <sz val="9"/>
        <rFont val="Arial"/>
        <family val="2"/>
        <charset val="1"/>
      </rPr>
      <t xml:space="preserve">| </t>
    </r>
    <r>
      <rPr>
        <sz val="9"/>
        <rFont val="Arial"/>
        <family val="2"/>
        <charset val="1"/>
      </rPr>
      <t xml:space="preserve">Using phosphorylated SMAD2 (pSMAD2) as a readout for TGF-b receptor activity, our results indicated that TGF-b signaling is active in human prostate to bone metastases - </t>
    </r>
    <r>
      <rPr>
        <b/>
        <sz val="9"/>
        <rFont val="Arial"/>
        <family val="2"/>
        <charset val="1"/>
      </rPr>
      <t>Results, Fig. 2</t>
    </r>
  </si>
  <si>
    <r>
      <rPr>
        <sz val="9"/>
        <rFont val="Arial"/>
        <family val="2"/>
        <charset val="1"/>
      </rPr>
      <t xml:space="preserve">Parameters for the HCA model were derived from empirical and published data (Table 1; ref. 9) - </t>
    </r>
    <r>
      <rPr>
        <b/>
        <sz val="9"/>
        <rFont val="Arial"/>
        <family val="2"/>
        <charset val="1"/>
      </rPr>
      <t>Materials and Methods, Mathematical model</t>
    </r>
    <r>
      <rPr>
        <sz val="9"/>
        <rFont val="Arial"/>
        <family val="2"/>
        <charset val="1"/>
      </rPr>
      <t xml:space="preserve"> </t>
    </r>
    <r>
      <rPr>
        <b/>
        <sz val="9"/>
        <rFont val="Arial"/>
        <family val="2"/>
        <charset val="1"/>
      </rPr>
      <t xml:space="preserve">| </t>
    </r>
    <r>
      <rPr>
        <sz val="9"/>
        <rFont val="Arial"/>
        <family val="2"/>
        <charset val="1"/>
      </rPr>
      <t xml:space="preserve">Cell-cycle time, TGF-b released per osteoclast and per tumour cell, and BMU size are listed as "Estimated" - </t>
    </r>
    <r>
      <rPr>
        <b/>
        <sz val="9"/>
        <rFont val="Arial"/>
        <family val="2"/>
        <charset val="1"/>
      </rPr>
      <t>Table 1</t>
    </r>
  </si>
  <si>
    <r>
      <rPr>
        <sz val="9"/>
        <rFont val="Arial"/>
        <family val="2"/>
        <charset val="1"/>
      </rPr>
      <t xml:space="preserve">On the basis of multiple simulations (N = 25) of the computational model, we observed little variation in each population cell number - </t>
    </r>
    <r>
      <rPr>
        <b/>
        <sz val="9"/>
        <rFont val="Arial"/>
        <family val="2"/>
        <charset val="1"/>
      </rPr>
      <t>Results</t>
    </r>
    <r>
      <rPr>
        <sz val="9"/>
        <rFont val="Arial"/>
        <family val="2"/>
        <charset val="1"/>
      </rPr>
      <t xml:space="preserve"> </t>
    </r>
    <r>
      <rPr>
        <b/>
        <sz val="9"/>
        <rFont val="Arial"/>
        <family val="2"/>
        <charset val="1"/>
      </rPr>
      <t xml:space="preserve">| </t>
    </r>
    <r>
      <rPr>
        <sz val="9"/>
        <rFont val="Arial"/>
        <family val="2"/>
        <charset val="1"/>
      </rPr>
      <t xml:space="preserve">our existing model is already quite robust to changes in the parameterization (Supplementary Fig. S4) - </t>
    </r>
    <r>
      <rPr>
        <b/>
        <sz val="9"/>
        <rFont val="Arial"/>
        <family val="2"/>
        <charset val="1"/>
      </rPr>
      <t>Discussion</t>
    </r>
  </si>
  <si>
    <r>
      <rPr>
        <sz val="9"/>
        <rFont val="Arial"/>
        <family val="2"/>
        <charset val="1"/>
      </rPr>
      <t xml:space="preserve">Analysis of the computational prostate cancer-bone microenvironment at day 240 revealed striking histologic similarities to an in vivo model of the osteogenic/osteolytic prostate to bone metastasis environment - </t>
    </r>
    <r>
      <rPr>
        <b/>
        <sz val="9"/>
        <rFont val="Arial"/>
        <family val="2"/>
        <charset val="1"/>
      </rPr>
      <t>Results, Fig. 4</t>
    </r>
    <r>
      <rPr>
        <sz val="9"/>
        <rFont val="Arial"/>
        <family val="2"/>
        <charset val="1"/>
      </rPr>
      <t xml:space="preserve"> </t>
    </r>
    <r>
      <rPr>
        <b/>
        <sz val="9"/>
        <rFont val="Arial"/>
        <family val="2"/>
        <charset val="1"/>
      </rPr>
      <t xml:space="preserve">| </t>
    </r>
    <r>
      <rPr>
        <sz val="9"/>
        <rFont val="Arial"/>
        <family val="2"/>
        <charset val="1"/>
      </rPr>
      <t xml:space="preserve">the growth rate predicted by the computational model was comparable with the growth rate of the prostate cancer cells in vivo (Supplementary Fig. S3) - </t>
    </r>
    <r>
      <rPr>
        <b/>
        <sz val="9"/>
        <rFont val="Arial"/>
        <family val="2"/>
        <charset val="1"/>
      </rPr>
      <t>Results</t>
    </r>
  </si>
  <si>
    <r>
      <rPr>
        <sz val="9"/>
        <rFont val="Arial"/>
        <family val="2"/>
        <charset val="1"/>
      </rPr>
      <t xml:space="preserve">Not reported - model and in vivo outputs compared visually and by similar proportions; no agreement metric - </t>
    </r>
    <r>
      <rPr>
        <b/>
        <sz val="9"/>
        <rFont val="Arial"/>
        <family val="2"/>
        <charset val="1"/>
      </rPr>
      <t>checked Results, Fig. 4, Discussion</t>
    </r>
  </si>
  <si>
    <r>
      <rPr>
        <sz val="9"/>
        <rFont val="Arial"/>
        <family val="2"/>
        <charset val="1"/>
      </rPr>
      <t xml:space="preserve">Not reported - no code or data availability statement - </t>
    </r>
    <r>
      <rPr>
        <b/>
        <sz val="9"/>
        <rFont val="Arial"/>
        <family val="2"/>
        <charset val="1"/>
      </rPr>
      <t>checked Materials and Methods, end matter</t>
    </r>
  </si>
  <si>
    <r>
      <rPr>
        <sz val="9"/>
        <rFont val="Arial"/>
        <family val="2"/>
        <charset val="1"/>
      </rPr>
      <t xml:space="preserve">Their evolution can be described by the classical equation (see [19] for instance) - </t>
    </r>
    <r>
      <rPr>
        <b/>
        <sz val="9"/>
        <rFont val="Arial"/>
        <family val="2"/>
        <charset val="1"/>
      </rPr>
      <t>2.1 The PDE model</t>
    </r>
    <r>
      <rPr>
        <sz val="9"/>
        <rFont val="Arial"/>
        <family val="2"/>
        <charset val="1"/>
      </rPr>
      <t xml:space="preserve"> </t>
    </r>
    <r>
      <rPr>
        <b/>
        <sz val="9"/>
        <rFont val="Arial"/>
        <family val="2"/>
        <charset val="1"/>
      </rPr>
      <t xml:space="preserve">| </t>
    </r>
    <r>
      <rPr>
        <sz val="9"/>
        <rFont val="Arial"/>
        <family val="2"/>
        <charset val="1"/>
      </rPr>
      <t xml:space="preserve">To take into account the decay of the 223Ra treatment efficacy over time (11-day half-life), we will consider the alternative, more accurate model - </t>
    </r>
    <r>
      <rPr>
        <b/>
        <sz val="9"/>
        <rFont val="Arial"/>
        <family val="2"/>
        <charset val="1"/>
      </rPr>
      <t>2.1 The PDE model</t>
    </r>
  </si>
  <si>
    <r>
      <rPr>
        <sz val="9"/>
        <rFont val="Arial"/>
        <family val="2"/>
        <charset val="1"/>
      </rPr>
      <t xml:space="preserve">Identified parameters a* and b* of Ck as ctrl-data - </t>
    </r>
    <r>
      <rPr>
        <b/>
        <sz val="9"/>
        <rFont val="Arial"/>
        <family val="2"/>
        <charset val="1"/>
      </rPr>
      <t>Table 2</t>
    </r>
    <r>
      <rPr>
        <sz val="9"/>
        <rFont val="Arial"/>
        <family val="2"/>
        <charset val="1"/>
      </rPr>
      <t xml:space="preserve"> </t>
    </r>
    <r>
      <rPr>
        <b/>
        <sz val="9"/>
        <rFont val="Arial"/>
        <family val="2"/>
        <charset val="1"/>
      </rPr>
      <t xml:space="preserve">| </t>
    </r>
    <r>
      <rPr>
        <sz val="9"/>
        <rFont val="Arial"/>
        <family val="2"/>
        <charset val="1"/>
      </rPr>
      <t xml:space="preserve">We chose the carrying capacity Cmax = 10^6 and the diffusion coefficients rho0 = rhorad = 10^-4 cm2/day - </t>
    </r>
    <r>
      <rPr>
        <b/>
        <sz val="9"/>
        <rFont val="Arial"/>
        <family val="2"/>
        <charset val="1"/>
      </rPr>
      <t>5. Tumor growth simulations with the PDE model</t>
    </r>
  </si>
  <si>
    <r>
      <rPr>
        <sz val="9"/>
        <rFont val="Arial"/>
        <family val="2"/>
        <charset val="1"/>
      </rPr>
      <t xml:space="preserve">It is crucial first to verify whether the relevant parameters can be determined independently from the available data or measurements - </t>
    </r>
    <r>
      <rPr>
        <b/>
        <sz val="9"/>
        <rFont val="Arial"/>
        <family val="2"/>
        <charset val="1"/>
      </rPr>
      <t>3.1 Structural identifiability analysis</t>
    </r>
    <r>
      <rPr>
        <sz val="9"/>
        <rFont val="Arial"/>
        <family val="2"/>
        <charset val="1"/>
      </rPr>
      <t xml:space="preserve"> </t>
    </r>
    <r>
      <rPr>
        <b/>
        <sz val="9"/>
        <rFont val="Arial"/>
        <family val="2"/>
        <charset val="1"/>
      </rPr>
      <t xml:space="preserve">| </t>
    </r>
    <r>
      <rPr>
        <sz val="9"/>
        <rFont val="Arial"/>
        <family val="2"/>
        <charset val="1"/>
      </rPr>
      <t xml:space="preserve">the uncertainty on the estimated parameter can be propagated in the model prediction by carrying out derivative-based sensitivity analysis [29] - </t>
    </r>
    <r>
      <rPr>
        <b/>
        <sz val="9"/>
        <rFont val="Arial"/>
        <family val="2"/>
        <charset val="1"/>
      </rPr>
      <t>3.3 The parameter estimation problem statement</t>
    </r>
  </si>
  <si>
    <r>
      <rPr>
        <sz val="9"/>
        <rFont val="Arial"/>
        <family val="2"/>
        <charset val="1"/>
      </rPr>
      <t xml:space="preserve">Mitosis and apoptosis coefficients of the model have been calibrated using data from 31 mice with metastatic lesions, both treated and untreated - </t>
    </r>
    <r>
      <rPr>
        <b/>
        <sz val="9"/>
        <rFont val="Arial"/>
        <family val="2"/>
        <charset val="1"/>
      </rPr>
      <t>6. Conclusions</t>
    </r>
    <r>
      <rPr>
        <sz val="9"/>
        <rFont val="Arial"/>
        <family val="2"/>
        <charset val="1"/>
      </rPr>
      <t xml:space="preserve"> </t>
    </r>
    <r>
      <rPr>
        <b/>
        <sz val="9"/>
        <rFont val="Arial"/>
        <family val="2"/>
        <charset val="1"/>
      </rPr>
      <t xml:space="preserve">| </t>
    </r>
    <r>
      <rPr>
        <sz val="9"/>
        <rFont val="Arial"/>
        <family val="2"/>
        <charset val="1"/>
      </rPr>
      <t xml:space="preserve">Predictions compared only with the same 31-mouse calibration data; the 50-day run is compared with another model [10], not data - </t>
    </r>
    <r>
      <rPr>
        <b/>
        <sz val="9"/>
        <rFont val="Arial"/>
        <family val="2"/>
        <charset val="1"/>
      </rPr>
      <t>checked Sections 4-5</t>
    </r>
  </si>
  <si>
    <r>
      <rPr>
        <sz val="9"/>
        <rFont val="Arial"/>
        <family val="2"/>
        <charset val="1"/>
      </rPr>
      <t xml:space="preserve">the objective function J(a, b) is the sum of least squared errors between the values of the function Ca,b(tk), solution of (3.5), and experimental data - </t>
    </r>
    <r>
      <rPr>
        <b/>
        <sz val="9"/>
        <rFont val="Arial"/>
        <family val="2"/>
        <charset val="1"/>
      </rPr>
      <t>3.3 The parameter estimation problem statement</t>
    </r>
    <r>
      <rPr>
        <sz val="9"/>
        <rFont val="Arial"/>
        <family val="2"/>
        <charset val="1"/>
      </rPr>
      <t xml:space="preserve"> </t>
    </r>
    <r>
      <rPr>
        <b/>
        <sz val="9"/>
        <rFont val="Arial"/>
        <family val="2"/>
        <charset val="1"/>
      </rPr>
      <t xml:space="preserve">| </t>
    </r>
    <r>
      <rPr>
        <sz val="9"/>
        <rFont val="Arial"/>
        <family val="2"/>
        <charset val="1"/>
      </rPr>
      <t xml:space="preserve">It indicates that the uncertainty on the retrieved parameters is too high to have a reliable model - </t>
    </r>
    <r>
      <rPr>
        <b/>
        <sz val="9"/>
        <rFont val="Arial"/>
        <family val="2"/>
        <charset val="1"/>
      </rPr>
      <t>4.1 The control data</t>
    </r>
  </si>
  <si>
    <r>
      <rPr>
        <sz val="9"/>
        <rFont val="Arial"/>
        <family val="2"/>
        <charset val="1"/>
      </rPr>
      <t xml:space="preserve">Not reported - no code or data availability statement - </t>
    </r>
    <r>
      <rPr>
        <b/>
        <sz val="9"/>
        <rFont val="Arial"/>
        <family val="2"/>
        <charset val="1"/>
      </rPr>
      <t>checked Author contributions, Acknowledgments, end matter</t>
    </r>
  </si>
  <si>
    <r>
      <rPr>
        <sz val="9"/>
        <rFont val="Arial"/>
        <family val="2"/>
        <charset val="1"/>
      </rPr>
      <t xml:space="preserve">Asymmetrically dividing mesenchymal stem cells recruited to the BMU give rise to a population of osteoblast progenitors that are proliferating extensively (undergoing symmetric division) - </t>
    </r>
    <r>
      <rPr>
        <b/>
        <sz val="9"/>
        <rFont val="Arial"/>
        <family val="2"/>
        <charset val="1"/>
      </rPr>
      <t>2. Background</t>
    </r>
    <r>
      <rPr>
        <sz val="9"/>
        <rFont val="Arial"/>
        <family val="2"/>
        <charset val="1"/>
      </rPr>
      <t xml:space="preserve"> </t>
    </r>
    <r>
      <rPr>
        <b/>
        <sz val="9"/>
        <rFont val="Arial"/>
        <family val="2"/>
        <charset val="1"/>
      </rPr>
      <t xml:space="preserve">| </t>
    </r>
    <r>
      <rPr>
        <sz val="9"/>
        <rFont val="Arial"/>
        <family val="2"/>
        <charset val="1"/>
      </rPr>
      <t xml:space="preserve">The growth factor TGFb is assumed to be stored in the bone matrix and released into the microenvironment in active form by the resorbing OCas (Roodman, 1999; Iqbal et al., 2009; Tang et al., 2009) - </t>
    </r>
    <r>
      <rPr>
        <b/>
        <sz val="9"/>
        <rFont val="Arial"/>
        <family val="2"/>
        <charset val="1"/>
      </rPr>
      <t>3. Description of the model</t>
    </r>
    <r>
      <rPr>
        <sz val="9"/>
        <rFont val="Arial"/>
        <family val="2"/>
        <charset val="1"/>
      </rPr>
      <t xml:space="preserve"> </t>
    </r>
    <r>
      <rPr>
        <b/>
        <sz val="9"/>
        <rFont val="Arial"/>
        <family val="2"/>
        <charset val="1"/>
      </rPr>
      <t xml:space="preserve">| </t>
    </r>
    <r>
      <rPr>
        <sz val="9"/>
        <rFont val="Arial"/>
        <family val="2"/>
        <charset val="1"/>
      </rPr>
      <t xml:space="preserve">Hall et al. (2006a) suggest that the inhibition of Wnt by Dkk1 at an early stage of PCa metastasis leads to osteolytic lesions - </t>
    </r>
    <r>
      <rPr>
        <b/>
        <sz val="9"/>
        <rFont val="Arial"/>
        <family val="2"/>
        <charset val="1"/>
      </rPr>
      <t>5. Application to prostate cancer metastasis</t>
    </r>
  </si>
  <si>
    <r>
      <rPr>
        <sz val="9"/>
        <rFont val="Arial"/>
        <family val="2"/>
        <charset val="1"/>
      </rPr>
      <t xml:space="preserve">All the parameter values of the model are listed in Table 1 - </t>
    </r>
    <r>
      <rPr>
        <b/>
        <sz val="9"/>
        <rFont val="Arial"/>
        <family val="2"/>
        <charset val="1"/>
      </rPr>
      <t>3. Description of the model</t>
    </r>
    <r>
      <rPr>
        <sz val="9"/>
        <rFont val="Arial"/>
        <family val="2"/>
        <charset val="1"/>
      </rPr>
      <t xml:space="preserve"> </t>
    </r>
    <r>
      <rPr>
        <b/>
        <sz val="9"/>
        <rFont val="Arial"/>
        <family val="2"/>
        <charset val="1"/>
      </rPr>
      <t xml:space="preserve">| </t>
    </r>
    <r>
      <rPr>
        <sz val="9"/>
        <rFont val="Arial"/>
        <family val="2"/>
        <charset val="1"/>
      </rPr>
      <t xml:space="preserve">Tables 1 and 2 give values and descriptions but no source column; PCa-specific parameters (tumour density, production rates of PTHrP, PSA, Wnt, amplification factor) are assumed - </t>
    </r>
    <r>
      <rPr>
        <b/>
        <sz val="9"/>
        <rFont val="Arial"/>
        <family val="2"/>
        <charset val="1"/>
      </rPr>
      <t>Tables 1-2</t>
    </r>
  </si>
  <si>
    <r>
      <rPr>
        <sz val="9"/>
        <rFont val="Arial"/>
        <family val="2"/>
        <charset val="1"/>
      </rPr>
      <t xml:space="preserve">Fig. 3 shows the steady-state resorption and formation rates reached by the model for four combinations of (nu, OBp_sat) - </t>
    </r>
    <r>
      <rPr>
        <b/>
        <sz val="9"/>
        <rFont val="Arial"/>
        <family val="2"/>
        <charset val="1"/>
      </rPr>
      <t>4. Properties of the model</t>
    </r>
    <r>
      <rPr>
        <sz val="9"/>
        <rFont val="Arial"/>
        <family val="2"/>
        <charset val="1"/>
      </rPr>
      <t xml:space="preserve"> </t>
    </r>
    <r>
      <rPr>
        <b/>
        <sz val="9"/>
        <rFont val="Arial"/>
        <family val="2"/>
        <charset val="1"/>
      </rPr>
      <t xml:space="preserve">| </t>
    </r>
    <r>
      <rPr>
        <sz val="9"/>
        <rFont val="Arial"/>
        <family val="2"/>
        <charset val="1"/>
      </rPr>
      <t xml:space="preserve">Parameter sweeps of nu, OBp_sat and the proliferation rate; no formal sensitivity or uncertainty analysis - </t>
    </r>
    <r>
      <rPr>
        <b/>
        <sz val="9"/>
        <rFont val="Arial"/>
        <family val="2"/>
        <charset val="1"/>
      </rPr>
      <t>checked Sections 4-5, Figs. 2-4</t>
    </r>
  </si>
  <si>
    <r>
      <rPr>
        <sz val="9"/>
        <rFont val="Arial"/>
        <family val="2"/>
        <charset val="1"/>
      </rPr>
      <t xml:space="preserve">To retrieve the same catabolic behaviour to continuous PTH administration near the normal state for normal individuals as in Pivonka et al. (2008, 2010), we choose this angle to be approximately -4.5 degrees - </t>
    </r>
    <r>
      <rPr>
        <b/>
        <sz val="9"/>
        <rFont val="Arial"/>
        <family val="2"/>
        <charset val="1"/>
      </rPr>
      <t>4. Properties of the model</t>
    </r>
    <r>
      <rPr>
        <sz val="9"/>
        <rFont val="Arial"/>
        <family val="2"/>
        <charset val="1"/>
      </rPr>
      <t xml:space="preserve"> </t>
    </r>
    <r>
      <rPr>
        <b/>
        <sz val="9"/>
        <rFont val="Arial"/>
        <family val="2"/>
        <charset val="1"/>
      </rPr>
      <t xml:space="preserve">| </t>
    </r>
    <r>
      <rPr>
        <sz val="9"/>
        <rFont val="Arial"/>
        <family val="2"/>
        <charset val="1"/>
      </rPr>
      <t xml:space="preserve">This hypothesis is supported by histological evidence by Roudier et al. (2008) in patients who died with multiple bone metastases - </t>
    </r>
    <r>
      <rPr>
        <b/>
        <sz val="9"/>
        <rFont val="Arial"/>
        <family val="2"/>
        <charset val="1"/>
      </rPr>
      <t>5. Application to prostate cancer metastasis</t>
    </r>
  </si>
  <si>
    <r>
      <rPr>
        <sz val="9"/>
        <rFont val="Arial"/>
        <family val="2"/>
        <charset val="1"/>
      </rPr>
      <t xml:space="preserve">Not reported - PCa lesion time course is compared with published descriptions only; no model-data agreement metric - </t>
    </r>
    <r>
      <rPr>
        <b/>
        <sz val="9"/>
        <rFont val="Arial"/>
        <family val="2"/>
        <charset val="1"/>
      </rPr>
      <t>checked Section 5, Figs. 5-6</t>
    </r>
  </si>
  <si>
    <r>
      <rPr>
        <sz val="9"/>
        <rFont val="Arial"/>
        <family val="2"/>
        <charset val="1"/>
      </rPr>
      <t xml:space="preserve">Not reported - no code or data availability statement - </t>
    </r>
    <r>
      <rPr>
        <b/>
        <sz val="9"/>
        <rFont val="Arial"/>
        <family val="2"/>
        <charset val="1"/>
      </rPr>
      <t>checked Appendix A, end matter, Corrigendum</t>
    </r>
  </si>
  <si>
    <r>
      <rPr>
        <sz val="9"/>
        <rFont val="Arial"/>
        <family val="2"/>
        <charset val="1"/>
      </rPr>
      <t xml:space="preserve">We assume that osteoclastic differentiation and activity are controlled by the RANK/RANKL/OPG pathway - </t>
    </r>
    <r>
      <rPr>
        <b/>
        <sz val="9"/>
        <rFont val="Arial"/>
        <family val="2"/>
        <charset val="1"/>
      </rPr>
      <t>Bone homeostasis</t>
    </r>
    <r>
      <rPr>
        <sz val="9"/>
        <rFont val="Arial"/>
        <family val="2"/>
        <charset val="1"/>
      </rPr>
      <t xml:space="preserve"> </t>
    </r>
    <r>
      <rPr>
        <b/>
        <sz val="9"/>
        <rFont val="Arial"/>
        <family val="2"/>
        <charset val="1"/>
      </rPr>
      <t xml:space="preserve">| </t>
    </r>
    <r>
      <rPr>
        <sz val="9"/>
        <rFont val="Arial"/>
        <family val="2"/>
        <charset val="1"/>
      </rPr>
      <t xml:space="preserve">We assume that RANKL is produced by host tissue cells, including osteocytes, bone-lining cells, and stromal cells [22]-[25], and that it acts as a chemoattractant for osteoclast precursors [26] and active osteoclasts [16], [27] - </t>
    </r>
    <r>
      <rPr>
        <b/>
        <sz val="9"/>
        <rFont val="Arial"/>
        <family val="2"/>
        <charset val="1"/>
      </rPr>
      <t>Bone homeostasis</t>
    </r>
  </si>
  <si>
    <r>
      <rPr>
        <sz val="9"/>
        <rFont val="Arial"/>
        <family val="2"/>
        <charset val="1"/>
      </rPr>
      <t xml:space="preserve">The parameter values are matched to in vivo observations where available, and a tuning method is applied to the set of unmatched parameters as explained in Text S1 - </t>
    </r>
    <r>
      <rPr>
        <b/>
        <sz val="9"/>
        <rFont val="Arial"/>
        <family val="2"/>
        <charset val="1"/>
      </rPr>
      <t>Initial conditions, boundary conditions and numerical analysis</t>
    </r>
  </si>
  <si>
    <r>
      <rPr>
        <sz val="9"/>
        <rFont val="Arial"/>
        <family val="2"/>
        <charset val="1"/>
      </rPr>
      <t xml:space="preserve">the emergence of two distinct regimes of OPG action is observed across a large span of parameter values, and is in particular independent of the production rate of parathyroid hormone-related protein PTHrP by cancer cells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Parameter exploration reported; no formal sensitivity method seen in main text - </t>
    </r>
    <r>
      <rPr>
        <b/>
        <sz val="9"/>
        <rFont val="Arial"/>
        <family val="2"/>
        <charset val="1"/>
      </rPr>
      <t>checked Results, Discussion</t>
    </r>
  </si>
  <si>
    <r>
      <rPr>
        <sz val="9"/>
        <rFont val="Arial"/>
        <family val="2"/>
        <charset val="1"/>
      </rPr>
      <t xml:space="preserve">In the meantime, our qualitative predictions are valuable in suggesting a new conceptual model which is consistent with all the experimental data available to date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further experimental investigation is needed - </t>
    </r>
    <r>
      <rPr>
        <b/>
        <sz val="9"/>
        <rFont val="Arial"/>
        <family val="2"/>
        <charset val="1"/>
      </rPr>
      <t>Discussion</t>
    </r>
  </si>
  <si>
    <r>
      <rPr>
        <sz val="9"/>
        <rFont val="Arial"/>
        <family val="2"/>
        <charset val="1"/>
      </rPr>
      <t xml:space="preserve">Not reported - comparisons with experimental findings are qualitative - </t>
    </r>
    <r>
      <rPr>
        <b/>
        <sz val="9"/>
        <rFont val="Arial"/>
        <family val="2"/>
        <charset val="1"/>
      </rPr>
      <t>checked Results, Discussion</t>
    </r>
  </si>
  <si>
    <r>
      <rPr>
        <sz val="9"/>
        <rFont val="Arial"/>
        <family val="2"/>
        <charset val="1"/>
      </rPr>
      <t xml:space="preserve">Not reported - no code availability statement - </t>
    </r>
    <r>
      <rPr>
        <b/>
        <sz val="9"/>
        <rFont val="Arial"/>
        <family val="2"/>
        <charset val="1"/>
      </rPr>
      <t>checked Methods, end matter</t>
    </r>
  </si>
  <si>
    <r>
      <rPr>
        <sz val="9"/>
        <rFont val="Arial"/>
        <family val="2"/>
        <charset val="1"/>
      </rPr>
      <t xml:space="preserve">Previously we used a computational model to study prostate cancer (PCa) to bone metastases that was parameterized with empirical/published cellular and molecular values ([9]) - </t>
    </r>
    <r>
      <rPr>
        <b/>
        <sz val="9"/>
        <rFont val="Arial"/>
        <family val="2"/>
        <charset val="1"/>
      </rPr>
      <t>Computational model and experimental setup</t>
    </r>
    <r>
      <rPr>
        <sz val="9"/>
        <rFont val="Arial"/>
        <family val="2"/>
        <charset val="1"/>
      </rPr>
      <t xml:space="preserve"> </t>
    </r>
    <r>
      <rPr>
        <b/>
        <sz val="9"/>
        <rFont val="Arial"/>
        <family val="2"/>
        <charset val="1"/>
      </rPr>
      <t xml:space="preserve">| </t>
    </r>
    <r>
      <rPr>
        <sz val="9"/>
        <rFont val="Arial"/>
        <family val="2"/>
        <charset val="1"/>
      </rPr>
      <t xml:space="preserve">The rate of pOB division is inversely affected by TGFb and we assume that the effect is logarithmic - </t>
    </r>
    <r>
      <rPr>
        <b/>
        <sz val="9"/>
        <rFont val="Arial"/>
        <family val="2"/>
        <charset val="1"/>
      </rPr>
      <t>Computational model and experimental setup</t>
    </r>
  </si>
  <si>
    <r>
      <rPr>
        <sz val="9"/>
        <rFont val="Arial"/>
        <family val="2"/>
        <charset val="1"/>
      </rPr>
      <t xml:space="preserve">Select parameters used to generate the HCA computational model and adapted from ([9]) - </t>
    </r>
    <r>
      <rPr>
        <b/>
        <sz val="9"/>
        <rFont val="Arial"/>
        <family val="2"/>
        <charset val="1"/>
      </rPr>
      <t>Table 1</t>
    </r>
    <r>
      <rPr>
        <sz val="9"/>
        <rFont val="Arial"/>
        <family val="2"/>
        <charset val="1"/>
      </rPr>
      <t xml:space="preserve"> </t>
    </r>
    <r>
      <rPr>
        <b/>
        <sz val="9"/>
        <rFont val="Arial"/>
        <family val="2"/>
        <charset val="1"/>
      </rPr>
      <t xml:space="preserve">| </t>
    </r>
    <r>
      <rPr>
        <sz val="9"/>
        <rFont val="Arial"/>
        <family val="2"/>
        <charset val="1"/>
      </rPr>
      <t xml:space="preserve">We assume that TP has a maximum division rate of once 1.75 days, and a lifespan without nutrients of 10 days - </t>
    </r>
    <r>
      <rPr>
        <b/>
        <sz val="9"/>
        <rFont val="Arial"/>
        <family val="2"/>
        <charset val="1"/>
      </rPr>
      <t>Computational model and experimental setup</t>
    </r>
  </si>
  <si>
    <r>
      <rPr>
        <sz val="9"/>
        <rFont val="Arial"/>
        <family val="2"/>
        <charset val="1"/>
      </rPr>
      <t xml:space="preserve">Each experiment consists of a set of 50 simulations - </t>
    </r>
    <r>
      <rPr>
        <b/>
        <sz val="9"/>
        <rFont val="Arial"/>
        <family val="2"/>
        <charset val="1"/>
      </rPr>
      <t>Results, Metastatic PCa clusters (&gt;100 cells) establish less frequently</t>
    </r>
    <r>
      <rPr>
        <sz val="9"/>
        <rFont val="Arial"/>
        <family val="2"/>
        <charset val="1"/>
      </rPr>
      <t xml:space="preserve"> </t>
    </r>
    <r>
      <rPr>
        <b/>
        <sz val="9"/>
        <rFont val="Arial"/>
        <family val="2"/>
        <charset val="1"/>
      </rPr>
      <t xml:space="preserve">| </t>
    </r>
    <r>
      <rPr>
        <sz val="9"/>
        <rFont val="Arial"/>
        <family val="2"/>
        <charset val="1"/>
      </rPr>
      <t xml:space="preserve">varied the initial seeding of PCa cells from 1 to 10, 100, 250, 500, and 750 ... and altered the rate of MSC recruitment (1 to 1/1000 in 10-fold reductions) - </t>
    </r>
    <r>
      <rPr>
        <b/>
        <sz val="9"/>
        <rFont val="Arial"/>
        <family val="2"/>
        <charset val="1"/>
      </rPr>
      <t>Computational model and experimental setup</t>
    </r>
  </si>
  <si>
    <r>
      <rPr>
        <sz val="9"/>
        <rFont val="Arial"/>
        <family val="2"/>
        <charset val="1"/>
      </rPr>
      <t xml:space="preserve">We previously explored and biologically validated several hypothesis regarding treatment of metastatic prostate cancer with this HCA model ([9],[10]) - </t>
    </r>
    <r>
      <rPr>
        <b/>
        <sz val="9"/>
        <rFont val="Arial"/>
        <family val="2"/>
        <charset val="1"/>
      </rPr>
      <t>Computational model and experimental setup</t>
    </r>
    <r>
      <rPr>
        <sz val="9"/>
        <rFont val="Arial"/>
        <family val="2"/>
        <charset val="1"/>
      </rPr>
      <t xml:space="preserve"> </t>
    </r>
    <r>
      <rPr>
        <b/>
        <sz val="9"/>
        <rFont val="Arial"/>
        <family val="2"/>
        <charset val="1"/>
      </rPr>
      <t xml:space="preserve">| </t>
    </r>
    <r>
      <rPr>
        <sz val="9"/>
        <rFont val="Arial"/>
        <family val="2"/>
        <charset val="1"/>
      </rPr>
      <t xml:space="preserve">No new comparison with data in this paper - </t>
    </r>
    <r>
      <rPr>
        <b/>
        <sz val="9"/>
        <rFont val="Arial"/>
        <family val="2"/>
        <charset val="1"/>
      </rPr>
      <t>checked Results and Discussion, Conclusion</t>
    </r>
  </si>
  <si>
    <r>
      <rPr>
        <sz val="9"/>
        <rFont val="Arial"/>
        <family val="2"/>
        <charset val="1"/>
      </rPr>
      <t xml:space="preserve">Not reported - no model-data agreement metric - </t>
    </r>
    <r>
      <rPr>
        <b/>
        <sz val="9"/>
        <rFont val="Arial"/>
        <family val="2"/>
        <charset val="1"/>
      </rPr>
      <t>checked Results and Discussion</t>
    </r>
  </si>
  <si>
    <r>
      <rPr>
        <sz val="9"/>
        <rFont val="Arial"/>
        <family val="2"/>
        <charset val="1"/>
      </rPr>
      <t xml:space="preserve">Not reported - no code availability statement - </t>
    </r>
    <r>
      <rPr>
        <b/>
        <sz val="9"/>
        <rFont val="Arial"/>
        <family val="2"/>
        <charset val="1"/>
      </rPr>
      <t>checked bioRxiv full text, end matter</t>
    </r>
  </si>
  <si>
    <r>
      <rPr>
        <sz val="9"/>
        <rFont val="Arial"/>
        <family val="2"/>
        <charset val="1"/>
      </rPr>
      <t xml:space="preserve">We shall use as a starting point, the simplified approach of [22] and thus include in our model of metastatic CaP treatment: prostate cancer cells N; mutated cancer cells M; healthy bone marrow cells H; androgen concentration A; and PSA concentration P - </t>
    </r>
    <r>
      <rPr>
        <b/>
        <sz val="9"/>
        <rFont val="Arial"/>
        <family val="2"/>
        <charset val="1"/>
      </rPr>
      <t>1. Introduction</t>
    </r>
    <r>
      <rPr>
        <sz val="9"/>
        <rFont val="Arial"/>
        <family val="2"/>
        <charset val="1"/>
      </rPr>
      <t xml:space="preserve"> </t>
    </r>
    <r>
      <rPr>
        <b/>
        <sz val="9"/>
        <rFont val="Arial"/>
        <family val="2"/>
        <charset val="1"/>
      </rPr>
      <t xml:space="preserve">| </t>
    </r>
    <r>
      <rPr>
        <sz val="9"/>
        <rFont val="Arial"/>
        <family val="2"/>
        <charset val="1"/>
      </rPr>
      <t xml:space="preserve">Note that Androgen-repressed castration-resistant cells have been isolated from human tumors [32] - </t>
    </r>
    <r>
      <rPr>
        <b/>
        <sz val="9"/>
        <rFont val="Arial"/>
        <family val="2"/>
        <charset val="1"/>
      </rPr>
      <t>2. Model development</t>
    </r>
    <r>
      <rPr>
        <sz val="9"/>
        <rFont val="Arial"/>
        <family val="2"/>
        <charset val="1"/>
      </rPr>
      <t xml:space="preserve"> </t>
    </r>
    <r>
      <rPr>
        <b/>
        <sz val="9"/>
        <rFont val="Arial"/>
        <family val="2"/>
        <charset val="1"/>
      </rPr>
      <t xml:space="preserve">| </t>
    </r>
    <r>
      <rPr>
        <sz val="9"/>
        <rFont val="Arial"/>
        <family val="2"/>
        <charset val="1"/>
      </rPr>
      <t xml:space="preserve">Growth-rate functions KN(A), KM(A) are "assumed" shapes (Fig. 1); bone treated as a porous medium via Darcy's law, PSA taken proportional to cell number "for simplicity" - </t>
    </r>
    <r>
      <rPr>
        <b/>
        <sz val="9"/>
        <rFont val="Arial"/>
        <family val="2"/>
        <charset val="1"/>
      </rPr>
      <t>2. Model development, Fig. 1</t>
    </r>
  </si>
  <si>
    <r>
      <rPr>
        <sz val="9"/>
        <rFont val="Arial"/>
        <family val="2"/>
        <charset val="1"/>
      </rPr>
      <t xml:space="preserve">In all results that follow, the growth rate KN(A) of N cells is kept fixed, while the growth rate KM(A) of M cells is varied to illustrate the various possible outcomes of therapy application - </t>
    </r>
    <r>
      <rPr>
        <b/>
        <sz val="9"/>
        <rFont val="Arial"/>
        <family val="2"/>
        <charset val="1"/>
      </rPr>
      <t>4. Numerical simulations</t>
    </r>
    <r>
      <rPr>
        <sz val="9"/>
        <rFont val="Arial"/>
        <family val="2"/>
        <charset val="1"/>
      </rPr>
      <t xml:space="preserve"> </t>
    </r>
    <r>
      <rPr>
        <b/>
        <sz val="9"/>
        <rFont val="Arial"/>
        <family val="2"/>
        <charset val="1"/>
      </rPr>
      <t xml:space="preserve">| </t>
    </r>
    <r>
      <rPr>
        <sz val="9"/>
        <rFont val="Arial"/>
        <family val="2"/>
        <charset val="1"/>
      </rPr>
      <t xml:space="preserve">No parameter table; values of mu, KH, K0, lambdaA, muA, lambda0, alpha_mut, DA, gamma are never given - only P0 = 5, initial diameter 1 cm and plotted growth-rate curves - </t>
    </r>
    <r>
      <rPr>
        <b/>
        <sz val="9"/>
        <rFont val="Arial"/>
        <family val="2"/>
        <charset val="1"/>
      </rPr>
      <t>checked Sections 2-4, Figs. 2-7</t>
    </r>
  </si>
  <si>
    <r>
      <rPr>
        <sz val="9"/>
        <rFont val="Arial"/>
        <family val="2"/>
        <charset val="1"/>
      </rPr>
      <t xml:space="preserve">Not reported - growth rates varied only to illustrate qualitative outcomes (failure, cycling, cure); no sensitivity analysis - </t>
    </r>
    <r>
      <rPr>
        <b/>
        <sz val="9"/>
        <rFont val="Arial"/>
        <family val="2"/>
        <charset val="1"/>
      </rPr>
      <t>checked Section 4, Figs. 2-7</t>
    </r>
  </si>
  <si>
    <r>
      <rPr>
        <sz val="9"/>
        <rFont val="Arial"/>
        <family val="2"/>
        <charset val="1"/>
      </rPr>
      <t xml:space="preserve">For this, the model needs to be extensively validated against patient treatment data, and requires the measurement of additional biomarkers such as cancer cell proliferation and death rates, and PSA expression levels per cell - </t>
    </r>
    <r>
      <rPr>
        <b/>
        <sz val="9"/>
        <rFont val="Arial"/>
        <family val="2"/>
        <charset val="1"/>
      </rPr>
      <t>5. Discussion</t>
    </r>
  </si>
  <si>
    <r>
      <rPr>
        <sz val="9"/>
        <rFont val="Arial"/>
        <family val="2"/>
        <charset val="1"/>
      </rPr>
      <t xml:space="preserve">Not reported - simulations are said to "reproduce a variety of clinically observed responses", but no data are shown or compared - </t>
    </r>
    <r>
      <rPr>
        <b/>
        <sz val="9"/>
        <rFont val="Arial"/>
        <family val="2"/>
        <charset val="1"/>
      </rPr>
      <t>Abstract; checked Sections 4-5</t>
    </r>
  </si>
  <si>
    <r>
      <rPr>
        <sz val="9"/>
        <rFont val="Arial"/>
        <family val="2"/>
        <charset val="1"/>
      </rPr>
      <t xml:space="preserve">Not reported - no code or data availability statement - </t>
    </r>
    <r>
      <rPr>
        <b/>
        <sz val="9"/>
        <rFont val="Arial"/>
        <family val="2"/>
        <charset val="1"/>
      </rPr>
      <t>checked Acknowledgments, end matter</t>
    </r>
  </si>
  <si>
    <r>
      <rPr>
        <sz val="9"/>
        <rFont val="Arial"/>
        <family val="2"/>
        <charset val="1"/>
      </rPr>
      <t xml:space="preserve">we fit the Lotka-Volterra (or predator-prey) model to data from the mixed spheroids - </t>
    </r>
    <r>
      <rPr>
        <b/>
        <sz val="9"/>
        <rFont val="Arial"/>
        <family val="2"/>
        <charset val="1"/>
      </rPr>
      <t>Results, Increased growth of unirradiated mixed tumours</t>
    </r>
    <r>
      <rPr>
        <sz val="9"/>
        <rFont val="Arial"/>
        <family val="2"/>
        <charset val="1"/>
      </rPr>
      <t xml:space="preserve"> </t>
    </r>
    <r>
      <rPr>
        <b/>
        <sz val="9"/>
        <rFont val="Arial"/>
        <family val="2"/>
        <charset val="1"/>
      </rPr>
      <t xml:space="preserve">| </t>
    </r>
    <r>
      <rPr>
        <sz val="9"/>
        <rFont val="Arial"/>
        <family val="2"/>
        <charset val="1"/>
      </rPr>
      <t xml:space="preserve">Cell kill due to radiotherapy was incorporated into the models using the linear quadratic model [42], with alpha and beta values derived for each cell population - </t>
    </r>
    <r>
      <rPr>
        <b/>
        <sz val="9"/>
        <rFont val="Arial"/>
        <family val="2"/>
        <charset val="1"/>
      </rPr>
      <t>Methods, Modelling regrowth times after radiation</t>
    </r>
  </si>
  <si>
    <r>
      <rPr>
        <sz val="9"/>
        <rFont val="Arial"/>
        <family val="2"/>
        <charset val="1"/>
      </rPr>
      <t xml:space="preserve">Values of growth rate r, carrying capacity K, and initial volumes V0 for parental and radioresistant homogeneous spheroids from PC3 and DU145 cell lines - </t>
    </r>
    <r>
      <rPr>
        <b/>
        <sz val="9"/>
        <rFont val="Arial"/>
        <family val="2"/>
        <charset val="1"/>
      </rPr>
      <t>Table 1</t>
    </r>
    <r>
      <rPr>
        <sz val="9"/>
        <rFont val="Arial"/>
        <family val="2"/>
        <charset val="1"/>
      </rPr>
      <t xml:space="preserve"> </t>
    </r>
    <r>
      <rPr>
        <b/>
        <sz val="9"/>
        <rFont val="Arial"/>
        <family val="2"/>
        <charset val="1"/>
      </rPr>
      <t xml:space="preserve">| </t>
    </r>
    <r>
      <rPr>
        <sz val="9"/>
        <rFont val="Arial"/>
        <family val="2"/>
        <charset val="1"/>
      </rPr>
      <t xml:space="preserve">Parameter values for proliferation were derived from our flow cytometry data; measured OCR values were 17% lower for radioresistant than for parental cells - </t>
    </r>
    <r>
      <rPr>
        <b/>
        <sz val="9"/>
        <rFont val="Arial"/>
        <family val="2"/>
        <charset val="1"/>
      </rPr>
      <t>Results, Oxygen constraints and cell-cell communication</t>
    </r>
  </si>
  <si>
    <r>
      <rPr>
        <sz val="9"/>
        <rFont val="Arial"/>
        <family val="2"/>
        <charset val="1"/>
      </rPr>
      <t xml:space="preserve">we performed in silico studies in which the Lotka-Volterra model was used to generate synthetic growth curves of mixed spheroids with known interaction parameters ... and three levels of experimental noise (5, 10, and 20%) - </t>
    </r>
    <r>
      <rPr>
        <b/>
        <sz val="9"/>
        <rFont val="Arial"/>
        <family val="2"/>
        <charset val="1"/>
      </rPr>
      <t>Results, Increased growth of unirradiated mixed tumours</t>
    </r>
    <r>
      <rPr>
        <sz val="9"/>
        <rFont val="Arial"/>
        <family val="2"/>
        <charset val="1"/>
      </rPr>
      <t xml:space="preserve"> </t>
    </r>
    <r>
      <rPr>
        <b/>
        <sz val="9"/>
        <rFont val="Arial"/>
        <family val="2"/>
        <charset val="1"/>
      </rPr>
      <t xml:space="preserve">| </t>
    </r>
    <r>
      <rPr>
        <sz val="9"/>
        <rFont val="Arial"/>
        <family val="2"/>
        <charset val="1"/>
      </rPr>
      <t xml:space="preserve">Values indicate mean value and 95% confidence intervals - </t>
    </r>
    <r>
      <rPr>
        <b/>
        <sz val="9"/>
        <rFont val="Arial"/>
        <family val="2"/>
        <charset val="1"/>
      </rPr>
      <t>Table 1 footnote</t>
    </r>
  </si>
  <si>
    <r>
      <rPr>
        <sz val="9"/>
        <rFont val="Arial"/>
        <family val="2"/>
        <charset val="1"/>
      </rPr>
      <t xml:space="preserve">Experimental data supported the mathematical predictions, as measured by changes in the cell cycle duration of each population isolated from homogeneous spheroids compared to those isolated from mixed spheroids - </t>
    </r>
    <r>
      <rPr>
        <b/>
        <sz val="9"/>
        <rFont val="Arial"/>
        <family val="2"/>
        <charset val="1"/>
      </rPr>
      <t>Results, Increased growth of unirradiated mixed tumours</t>
    </r>
    <r>
      <rPr>
        <sz val="9"/>
        <rFont val="Arial"/>
        <family val="2"/>
        <charset val="1"/>
      </rPr>
      <t xml:space="preserve"> </t>
    </r>
    <r>
      <rPr>
        <b/>
        <sz val="9"/>
        <rFont val="Arial"/>
        <family val="2"/>
        <charset val="1"/>
      </rPr>
      <t xml:space="preserve">| </t>
    </r>
    <r>
      <rPr>
        <sz val="9"/>
        <rFont val="Arial"/>
        <family val="2"/>
        <charset val="1"/>
      </rPr>
      <t xml:space="preserve">Although the CA model predicted the growth curves of the homogeneous spheroids, the model did not accurately capture the growth curves of the mixed spheroids - </t>
    </r>
    <r>
      <rPr>
        <b/>
        <sz val="9"/>
        <rFont val="Arial"/>
        <family val="2"/>
        <charset val="1"/>
      </rPr>
      <t>Results, Oxygen constraints</t>
    </r>
  </si>
  <si>
    <r>
      <rPr>
        <sz val="9"/>
        <rFont val="Arial"/>
        <family val="2"/>
        <charset val="1"/>
      </rPr>
      <t xml:space="preserve">Interaction parameters ... Error bars represent confidence intervals - </t>
    </r>
    <r>
      <rPr>
        <b/>
        <sz val="9"/>
        <rFont val="Arial"/>
        <family val="2"/>
        <charset val="1"/>
      </rPr>
      <t>Fig. 3 legend</t>
    </r>
    <r>
      <rPr>
        <sz val="9"/>
        <rFont val="Arial"/>
        <family val="2"/>
        <charset val="1"/>
      </rPr>
      <t xml:space="preserve"> </t>
    </r>
    <r>
      <rPr>
        <b/>
        <sz val="9"/>
        <rFont val="Arial"/>
        <family val="2"/>
        <charset val="1"/>
      </rPr>
      <t xml:space="preserve">| </t>
    </r>
    <r>
      <rPr>
        <sz val="9"/>
        <rFont val="Arial"/>
        <family val="2"/>
        <charset val="1"/>
      </rPr>
      <t xml:space="preserve">Predicted interaction type confirmed by EdU uptake in a separate experiment (direction only); no model-vs-validation agreement metric - </t>
    </r>
    <r>
      <rPr>
        <b/>
        <sz val="9"/>
        <rFont val="Arial"/>
        <family val="2"/>
        <charset val="1"/>
      </rPr>
      <t>checked Results, Figs. 3 and 6</t>
    </r>
  </si>
  <si>
    <r>
      <rPr>
        <sz val="9"/>
        <rFont val="Arial"/>
        <family val="2"/>
        <charset val="1"/>
      </rPr>
      <t xml:space="preserve">Computer code used to generate the surface plots in Fig. 5 (interactions_time_to_regrow), the cellular automaton model results in Fig. 6 (ca model) ... are available in Zenodo with DOI 10.5281/zenodo.4130692 - </t>
    </r>
    <r>
      <rPr>
        <b/>
        <sz val="9"/>
        <rFont val="Arial"/>
        <family val="2"/>
        <charset val="1"/>
      </rPr>
      <t>Code availability</t>
    </r>
  </si>
  <si>
    <r>
      <rPr>
        <sz val="9"/>
        <rFont val="Arial"/>
        <family val="2"/>
        <charset val="1"/>
      </rPr>
      <t xml:space="preserve">Like all models, our models are an abstraction of reality and based on a set of assumptions which are listed in Supplementary Table 1 - </t>
    </r>
    <r>
      <rPr>
        <b/>
        <sz val="9"/>
        <rFont val="Arial"/>
        <family val="2"/>
        <charset val="1"/>
      </rPr>
      <t>Materials and Methods</t>
    </r>
    <r>
      <rPr>
        <sz val="9"/>
        <rFont val="Arial"/>
        <family val="2"/>
        <charset val="1"/>
      </rPr>
      <t xml:space="preserve"> </t>
    </r>
    <r>
      <rPr>
        <b/>
        <sz val="9"/>
        <rFont val="Arial"/>
        <family val="2"/>
        <charset val="1"/>
      </rPr>
      <t xml:space="preserve">| </t>
    </r>
    <r>
      <rPr>
        <sz val="9"/>
        <rFont val="Arial"/>
        <family val="2"/>
        <charset val="1"/>
      </rPr>
      <t xml:space="preserve">Fibroblasts can convert to tumor-promoting CAFs when they are in proximity of tumor cells [22,39,49,50] - </t>
    </r>
    <r>
      <rPr>
        <b/>
        <sz val="9"/>
        <rFont val="Arial"/>
        <family val="2"/>
        <charset val="1"/>
      </rPr>
      <t>Materials and Methods</t>
    </r>
  </si>
  <si>
    <r>
      <rPr>
        <sz val="9"/>
        <rFont val="Arial"/>
        <family val="2"/>
        <charset val="1"/>
      </rPr>
      <t xml:space="preserve">Probabilities of each action are defined by model parameters which are either derived from literature or estimated from our experimental data - </t>
    </r>
    <r>
      <rPr>
        <b/>
        <sz val="9"/>
        <rFont val="Arial"/>
        <family val="2"/>
        <charset val="1"/>
      </rPr>
      <t>Agent-based Modeling Assumptions and Simulations</t>
    </r>
    <r>
      <rPr>
        <sz val="9"/>
        <rFont val="Arial"/>
        <family val="2"/>
        <charset val="1"/>
      </rPr>
      <t xml:space="preserve"> </t>
    </r>
    <r>
      <rPr>
        <b/>
        <sz val="9"/>
        <rFont val="Arial"/>
        <family val="2"/>
        <charset val="1"/>
      </rPr>
      <t xml:space="preserve">| </t>
    </r>
    <r>
      <rPr>
        <sz val="9"/>
        <rFont val="Arial"/>
        <family val="2"/>
        <charset val="1"/>
      </rPr>
      <t xml:space="preserve">Tumor cell, fibroblast, and macrophage parameters were estimated using particle swarm optimization to fit the experimental data - </t>
    </r>
    <r>
      <rPr>
        <b/>
        <sz val="9"/>
        <rFont val="Arial"/>
        <family val="2"/>
        <charset val="1"/>
      </rPr>
      <t>Parameter Identification</t>
    </r>
    <r>
      <rPr>
        <sz val="9"/>
        <rFont val="Arial"/>
        <family val="2"/>
        <charset val="1"/>
      </rPr>
      <t xml:space="preserve"> </t>
    </r>
    <r>
      <rPr>
        <b/>
        <sz val="9"/>
        <rFont val="Arial"/>
        <family val="2"/>
        <charset val="1"/>
      </rPr>
      <t xml:space="preserve">| </t>
    </r>
    <r>
      <rPr>
        <sz val="9"/>
        <rFont val="Arial"/>
        <family val="2"/>
        <charset val="1"/>
      </rPr>
      <t xml:space="preserve">The remaining parameter values were either derived from previous studies, adapted from a previously published model of colorectal cancer or qualitatively tuned - </t>
    </r>
    <r>
      <rPr>
        <b/>
        <sz val="9"/>
        <rFont val="Arial"/>
        <family val="2"/>
        <charset val="1"/>
      </rPr>
      <t>Parameter Identification</t>
    </r>
  </si>
  <si>
    <r>
      <rPr>
        <sz val="9"/>
        <rFont val="Arial"/>
        <family val="2"/>
        <charset val="1"/>
      </rPr>
      <t xml:space="preserve">A qualitative sensitivity analysis was performed for all individual model parameters by increasing them individually by 10% and recording the percentage change in output, in the number of tumor cells at 400 days - </t>
    </r>
    <r>
      <rPr>
        <b/>
        <sz val="9"/>
        <rFont val="Arial"/>
        <family val="2"/>
        <charset val="1"/>
      </rPr>
      <t>Parameter Sensitivity Analysis</t>
    </r>
  </si>
  <si>
    <r>
      <rPr>
        <sz val="9"/>
        <rFont val="Arial"/>
        <family val="2"/>
        <charset val="1"/>
      </rPr>
      <t xml:space="preserve">Model predictions were compared with clinical data from TCGA, using in silico generated tumor loads and clinical progression-free survival (PFS) time for comparison - </t>
    </r>
    <r>
      <rPr>
        <b/>
        <sz val="9"/>
        <rFont val="Arial"/>
        <family val="2"/>
        <charset val="1"/>
      </rPr>
      <t>Comparison Between Model Simulations and Clinical Patient Data</t>
    </r>
    <r>
      <rPr>
        <sz val="9"/>
        <rFont val="Arial"/>
        <family val="2"/>
        <charset val="1"/>
      </rPr>
      <t xml:space="preserve"> </t>
    </r>
    <r>
      <rPr>
        <b/>
        <sz val="9"/>
        <rFont val="Arial"/>
        <family val="2"/>
        <charset val="1"/>
      </rPr>
      <t xml:space="preserve">| </t>
    </r>
    <r>
      <rPr>
        <sz val="9"/>
        <rFont val="Arial"/>
        <family val="2"/>
        <charset val="1"/>
      </rPr>
      <t xml:space="preserve">Growth patterns depicted by the model were pathologically validated on hematoxylin and eosin slide images - </t>
    </r>
    <r>
      <rPr>
        <b/>
        <sz val="9"/>
        <rFont val="Arial"/>
        <family val="2"/>
        <charset val="1"/>
      </rPr>
      <t>Abstract</t>
    </r>
  </si>
  <si>
    <r>
      <rPr>
        <sz val="9"/>
        <rFont val="Arial"/>
        <family val="2"/>
        <charset val="1"/>
      </rPr>
      <t xml:space="preserve">(Pearson correlation = -0.73, P = 0.04; Fig. 7A) - </t>
    </r>
    <r>
      <rPr>
        <b/>
        <sz val="9"/>
        <rFont val="Arial"/>
        <family val="2"/>
        <charset val="1"/>
      </rPr>
      <t>Model Simulations of Tumor Load Associate with Patient Prognosis</t>
    </r>
    <r>
      <rPr>
        <sz val="9"/>
        <rFont val="Arial"/>
        <family val="2"/>
        <charset val="1"/>
      </rPr>
      <t xml:space="preserve"> </t>
    </r>
    <r>
      <rPr>
        <b/>
        <sz val="9"/>
        <rFont val="Arial"/>
        <family val="2"/>
        <charset val="1"/>
      </rPr>
      <t xml:space="preserve">| </t>
    </r>
    <r>
      <rPr>
        <sz val="9"/>
        <rFont val="Arial"/>
        <family val="2"/>
        <charset val="1"/>
      </rPr>
      <t xml:space="preserve">Patients classified in the three groups with highest tumor load showed a significantly higher Gleason score (χ2 test, P = 0.002; Fig. 7B) - </t>
    </r>
    <r>
      <rPr>
        <b/>
        <sz val="9"/>
        <rFont val="Arial"/>
        <family val="2"/>
        <charset val="1"/>
      </rPr>
      <t>Model Simulations of Tumor Load Associate with Patient Prognosis</t>
    </r>
  </si>
  <si>
    <r>
      <rPr>
        <sz val="9"/>
        <rFont val="Arial"/>
        <family val="2"/>
        <charset val="1"/>
      </rPr>
      <t xml:space="preserve">The ABM of prostate cancer onset and development is available as Matlab code in a GitHub repository at https://github.com/SysBioOncology/ABM_prostate_cancer_development - </t>
    </r>
    <r>
      <rPr>
        <b/>
        <sz val="9"/>
        <rFont val="Arial"/>
        <family val="2"/>
        <charset val="1"/>
      </rPr>
      <t>Computational Implementation</t>
    </r>
    <r>
      <rPr>
        <sz val="9"/>
        <rFont val="Arial"/>
        <family val="2"/>
        <charset val="1"/>
      </rPr>
      <t xml:space="preserve"> </t>
    </r>
    <r>
      <rPr>
        <b/>
        <sz val="9"/>
        <rFont val="Arial"/>
        <family val="2"/>
        <charset val="1"/>
      </rPr>
      <t xml:space="preserve">| </t>
    </r>
    <r>
      <rPr>
        <sz val="9"/>
        <rFont val="Arial"/>
        <family val="2"/>
        <charset val="1"/>
      </rPr>
      <t xml:space="preserve">Runnable Matlab source (Example_run_ABM, subroutines_ABM, Eight_phenotypes_run) (checked 24 Sep 2026) - </t>
    </r>
    <r>
      <rPr>
        <b/>
        <sz val="9"/>
        <rFont val="Arial"/>
        <family val="2"/>
        <charset val="1"/>
      </rPr>
      <t>GitHub SysBioOncology</t>
    </r>
  </si>
  <si>
    <r>
      <rPr>
        <sz val="9"/>
        <rFont val="Arial"/>
        <family val="2"/>
        <charset val="1"/>
      </rPr>
      <t xml:space="preserve">To emulate in vitro settings, different agent types are randomly scattered on the grid upon initialization - </t>
    </r>
    <r>
      <rPr>
        <b/>
        <sz val="9"/>
        <rFont val="Arial"/>
        <family val="2"/>
        <charset val="1"/>
      </rPr>
      <t>Methods, Agent based model design</t>
    </r>
    <r>
      <rPr>
        <sz val="9"/>
        <rFont val="Arial"/>
        <family val="2"/>
        <charset val="1"/>
      </rPr>
      <t xml:space="preserve"> </t>
    </r>
    <r>
      <rPr>
        <b/>
        <sz val="9"/>
        <rFont val="Arial"/>
        <family val="2"/>
        <charset val="1"/>
      </rPr>
      <t xml:space="preserve">| </t>
    </r>
    <r>
      <rPr>
        <sz val="9"/>
        <rFont val="Arial"/>
        <family val="2"/>
        <charset val="1"/>
      </rPr>
      <t xml:space="preserve">Tumor cell and macrophage migration parameters from Kather et al. were scaled to match PCABM grid size and time steps - </t>
    </r>
    <r>
      <rPr>
        <b/>
        <sz val="9"/>
        <rFont val="Arial"/>
        <family val="2"/>
        <charset val="1"/>
      </rPr>
      <t>Methods, Initial parameter estimation</t>
    </r>
  </si>
  <si>
    <r>
      <rPr>
        <sz val="9"/>
        <rFont val="Arial"/>
        <family val="2"/>
        <charset val="1"/>
      </rPr>
      <t xml:space="preserve">Using particle swarm optimization (PSO), we optimized the PCABM on co-cultures experimental data (six technical replicates spanning three biological replicates) - </t>
    </r>
    <r>
      <rPr>
        <b/>
        <sz val="9"/>
        <rFont val="Arial"/>
        <family val="2"/>
        <charset val="1"/>
      </rPr>
      <t>Results, PCABM conceptual model</t>
    </r>
    <r>
      <rPr>
        <sz val="9"/>
        <rFont val="Arial"/>
        <family val="2"/>
        <charset val="1"/>
      </rPr>
      <t xml:space="preserve"> </t>
    </r>
    <r>
      <rPr>
        <b/>
        <sz val="9"/>
        <rFont val="Arial"/>
        <family val="2"/>
        <charset val="1"/>
      </rPr>
      <t xml:space="preserve">| </t>
    </r>
    <r>
      <rPr>
        <sz val="9"/>
        <rFont val="Arial"/>
        <family val="2"/>
        <charset val="1"/>
      </rPr>
      <t xml:space="preserve">Fibroblast migration parameters (Fpmig and Frwalk) and tumor cell migration towards fibroblasts (TUrwalk) were qualitatively tuned - </t>
    </r>
    <r>
      <rPr>
        <b/>
        <sz val="9"/>
        <rFont val="Arial"/>
        <family val="2"/>
        <charset val="1"/>
      </rPr>
      <t>Methods, Initial parameter estimation</t>
    </r>
  </si>
  <si>
    <r>
      <rPr>
        <sz val="9"/>
        <rFont val="Arial"/>
        <family val="2"/>
        <charset val="1"/>
      </rPr>
      <t xml:space="preserve">Shading represents model output for optimized parameters within interquartile range given by 50 optimizations for each biological replicate - </t>
    </r>
    <r>
      <rPr>
        <b/>
        <sz val="9"/>
        <rFont val="Arial"/>
        <family val="2"/>
        <charset val="1"/>
      </rPr>
      <t>Fig. 3 legend</t>
    </r>
    <r>
      <rPr>
        <sz val="9"/>
        <rFont val="Arial"/>
        <family val="2"/>
        <charset val="1"/>
      </rPr>
      <t xml:space="preserve"> </t>
    </r>
    <r>
      <rPr>
        <b/>
        <sz val="9"/>
        <rFont val="Arial"/>
        <family val="2"/>
        <charset val="1"/>
      </rPr>
      <t xml:space="preserve">| </t>
    </r>
    <r>
      <rPr>
        <sz val="9"/>
        <rFont val="Arial"/>
        <family val="2"/>
        <charset val="1"/>
      </rPr>
      <t xml:space="preserve">These cluster formations were robust to slight changes in resistant cell parameters - </t>
    </r>
    <r>
      <rPr>
        <b/>
        <sz val="9"/>
        <rFont val="Arial"/>
        <family val="2"/>
        <charset val="1"/>
      </rPr>
      <t>Results, Spatial effects in the TME</t>
    </r>
  </si>
  <si>
    <r>
      <rPr>
        <sz val="9"/>
        <rFont val="Arial"/>
        <family val="2"/>
        <charset val="1"/>
      </rPr>
      <t xml:space="preserve">To validate PCABM predictions on ADT effects, 3750 THP-1 cells were differentiated into M1- and M2 macrophages - </t>
    </r>
    <r>
      <rPr>
        <b/>
        <sz val="9"/>
        <rFont val="Arial"/>
        <family val="2"/>
        <charset val="1"/>
      </rPr>
      <t>Methods, Hormone conditions, apoptosis and resistant cell assays</t>
    </r>
    <r>
      <rPr>
        <sz val="9"/>
        <rFont val="Arial"/>
        <family val="2"/>
        <charset val="1"/>
      </rPr>
      <t xml:space="preserve"> </t>
    </r>
    <r>
      <rPr>
        <b/>
        <sz val="9"/>
        <rFont val="Arial"/>
        <family val="2"/>
        <charset val="1"/>
      </rPr>
      <t xml:space="preserve">| </t>
    </r>
    <r>
      <rPr>
        <sz val="9"/>
        <rFont val="Arial"/>
        <family val="2"/>
        <charset val="1"/>
      </rPr>
      <t xml:space="preserve">In co-cultures, we validated these findings with individually stimulated co-culture cell constituents - </t>
    </r>
    <r>
      <rPr>
        <b/>
        <sz val="9"/>
        <rFont val="Arial"/>
        <family val="2"/>
        <charset val="1"/>
      </rPr>
      <t>Results, PCABM predicts immunomodulatory effects of ADT</t>
    </r>
  </si>
  <si>
    <r>
      <rPr>
        <sz val="9"/>
        <rFont val="Arial"/>
        <family val="2"/>
        <charset val="1"/>
      </rPr>
      <t xml:space="preserve">resulted in an improved PCABM fit to in vitro data with smaller mean square error (MSE) between data and model fit - </t>
    </r>
    <r>
      <rPr>
        <b/>
        <sz val="9"/>
        <rFont val="Arial"/>
        <family val="2"/>
        <charset val="1"/>
      </rPr>
      <t>Results, PCABM predicts immunomodulatory effects of ADT</t>
    </r>
    <r>
      <rPr>
        <sz val="9"/>
        <rFont val="Arial"/>
        <family val="2"/>
        <charset val="1"/>
      </rPr>
      <t xml:space="preserve"> </t>
    </r>
    <r>
      <rPr>
        <b/>
        <sz val="9"/>
        <rFont val="Arial"/>
        <family val="2"/>
        <charset val="1"/>
      </rPr>
      <t xml:space="preserve">| </t>
    </r>
    <r>
      <rPr>
        <sz val="9"/>
        <rFont val="Arial"/>
        <family val="2"/>
        <charset val="1"/>
      </rPr>
      <t xml:space="preserve">MSE reported for calibration fits only; the independent validation (Fig. 4d) is compared qualitatively - </t>
    </r>
    <r>
      <rPr>
        <b/>
        <sz val="9"/>
        <rFont val="Arial"/>
        <family val="2"/>
        <charset val="1"/>
      </rPr>
      <t>checked Results, Figs. 3-4, Statistical analysis</t>
    </r>
  </si>
  <si>
    <r>
      <rPr>
        <sz val="9"/>
        <rFont val="Arial"/>
        <family val="2"/>
        <charset val="1"/>
      </rPr>
      <t xml:space="preserve">The model used in this study is publicly available in GitHub https://github.com/SysBioOncology/PCABM_ADT - </t>
    </r>
    <r>
      <rPr>
        <b/>
        <sz val="9"/>
        <rFont val="Arial"/>
        <family val="2"/>
        <charset val="1"/>
      </rPr>
      <t>Code availability</t>
    </r>
    <r>
      <rPr>
        <sz val="9"/>
        <rFont val="Arial"/>
        <family val="2"/>
        <charset val="1"/>
      </rPr>
      <t xml:space="preserve"> </t>
    </r>
    <r>
      <rPr>
        <b/>
        <sz val="9"/>
        <rFont val="Arial"/>
        <family val="2"/>
        <charset val="1"/>
      </rPr>
      <t xml:space="preserve">| </t>
    </r>
    <r>
      <rPr>
        <sz val="9"/>
        <rFont val="Arial"/>
        <family val="2"/>
        <charset val="1"/>
      </rPr>
      <t xml:space="preserve">Cell culture data are deposited in Zenodo https://doi.org/10.5281/zenodo.10517653 - </t>
    </r>
    <r>
      <rPr>
        <b/>
        <sz val="9"/>
        <rFont val="Arial"/>
        <family val="2"/>
        <charset val="1"/>
      </rPr>
      <t>Data availability</t>
    </r>
  </si>
  <si>
    <r>
      <rPr>
        <sz val="9"/>
        <rFont val="Arial"/>
        <family val="2"/>
        <charset val="1"/>
      </rPr>
      <t xml:space="preserve">The signalling scheme uses established interactions which occur in the uPA/uPAR axis - </t>
    </r>
    <r>
      <rPr>
        <b/>
        <sz val="9"/>
        <rFont val="Arial"/>
        <family val="2"/>
        <charset val="1"/>
      </rPr>
      <t>4.6 ODE-Network Structure and State Variables</t>
    </r>
    <r>
      <rPr>
        <sz val="9"/>
        <rFont val="Arial"/>
        <family val="2"/>
        <charset val="1"/>
      </rPr>
      <t xml:space="preserve"> </t>
    </r>
    <r>
      <rPr>
        <b/>
        <sz val="9"/>
        <rFont val="Arial"/>
        <family val="2"/>
        <charset val="1"/>
      </rPr>
      <t xml:space="preserve">| </t>
    </r>
    <r>
      <rPr>
        <sz val="9"/>
        <rFont val="Arial"/>
        <family val="2"/>
        <charset val="1"/>
      </rPr>
      <t xml:space="preserve">A convenient, biologically meaningful form is a normalised Hill-type combination - </t>
    </r>
    <r>
      <rPr>
        <b/>
        <sz val="9"/>
        <rFont val="Arial"/>
        <family val="2"/>
        <charset val="1"/>
      </rPr>
      <t>4.7.1 Phenotypic Proliferation Rate</t>
    </r>
  </si>
  <si>
    <r>
      <rPr>
        <sz val="9"/>
        <rFont val="Arial"/>
        <family val="2"/>
        <charset val="1"/>
      </rPr>
      <t xml:space="preserve">Model parameters were calibrated using literature-derived kinetic ranges and experimentally constrained signalling behaviour, while uncertain parameters were confined to biologically plausible bounds rather than fitted - </t>
    </r>
    <r>
      <rPr>
        <b/>
        <sz val="9"/>
        <rFont val="Arial"/>
        <family val="2"/>
        <charset val="1"/>
      </rPr>
      <t>Limitations</t>
    </r>
    <r>
      <rPr>
        <sz val="9"/>
        <rFont val="Arial"/>
        <family val="2"/>
        <charset val="1"/>
      </rPr>
      <t xml:space="preserve"> </t>
    </r>
    <r>
      <rPr>
        <b/>
        <sz val="9"/>
        <rFont val="Arial"/>
        <family val="2"/>
        <charset val="1"/>
      </rPr>
      <t xml:space="preserve">| </t>
    </r>
    <r>
      <rPr>
        <sz val="9"/>
        <rFont val="Arial"/>
        <family val="2"/>
        <charset val="1"/>
      </rPr>
      <t xml:space="preserve">The present implementation should therefore be regarded as a proof-of-concept mechanistic framework rather than a fully calibrated predictive simulator - </t>
    </r>
    <r>
      <rPr>
        <b/>
        <sz val="9"/>
        <rFont val="Arial"/>
        <family val="2"/>
        <charset val="1"/>
      </rPr>
      <t>Limitations</t>
    </r>
  </si>
  <si>
    <r>
      <rPr>
        <sz val="9"/>
        <rFont val="Arial"/>
        <family val="2"/>
        <charset val="1"/>
      </rPr>
      <t xml:space="preserve">Total-order Sobol indices (ST) revealed that both the association rate constant kon and the dissociation rate constant koff exert strong control over spatial tumour expansion - </t>
    </r>
    <r>
      <rPr>
        <b/>
        <sz val="9"/>
        <rFont val="Arial"/>
        <family val="2"/>
        <charset val="1"/>
      </rPr>
      <t>2. Results</t>
    </r>
    <r>
      <rPr>
        <sz val="9"/>
        <rFont val="Arial"/>
        <family val="2"/>
        <charset val="1"/>
      </rPr>
      <t xml:space="preserve"> </t>
    </r>
    <r>
      <rPr>
        <b/>
        <sz val="9"/>
        <rFont val="Arial"/>
        <family val="2"/>
        <charset val="1"/>
      </rPr>
      <t xml:space="preserve">| </t>
    </r>
    <r>
      <rPr>
        <sz val="9"/>
        <rFont val="Arial"/>
        <family val="2"/>
        <charset val="1"/>
      </rPr>
      <t xml:space="preserve">we repeated ABM simulations across increasing lattice sizes (200 x 200, 300 x 300, 400 x 400; n = 30 per scenario) - </t>
    </r>
    <r>
      <rPr>
        <b/>
        <sz val="9"/>
        <rFont val="Arial"/>
        <family val="2"/>
        <charset val="1"/>
      </rPr>
      <t>2. Results</t>
    </r>
  </si>
  <si>
    <r>
      <rPr>
        <sz val="9"/>
        <rFont val="Arial"/>
        <family val="2"/>
        <charset val="1"/>
      </rPr>
      <t xml:space="preserve">Not reported - no comparison of simulated invasion with experimental or clinical data; "validation" refers to docking redocking and MM-GBSA only - </t>
    </r>
    <r>
      <rPr>
        <b/>
        <sz val="9"/>
        <rFont val="Arial"/>
        <family val="2"/>
        <charset val="1"/>
      </rPr>
      <t>checked Results, Discussion, Methods 4.3-4.7</t>
    </r>
  </si>
  <si>
    <r>
      <rPr>
        <sz val="9"/>
        <rFont val="Arial"/>
        <family val="2"/>
        <charset val="1"/>
      </rPr>
      <t xml:space="preserve">Not reported - Kruskal-Wallis/Dunn tests and Cliff delta compare simulated scenarios with each other - </t>
    </r>
    <r>
      <rPr>
        <b/>
        <sz val="9"/>
        <rFont val="Arial"/>
        <family val="2"/>
        <charset val="1"/>
      </rPr>
      <t>checked 2. Results, Table 4</t>
    </r>
  </si>
  <si>
    <r>
      <rPr>
        <sz val="9"/>
        <rFont val="Arial"/>
        <family val="2"/>
        <charset val="1"/>
      </rPr>
      <t xml:space="preserve">The code and data used for this paper are available at Zenodo with the DOI: https://doi.org/10.5281/zenodo.18761670 - </t>
    </r>
    <r>
      <rPr>
        <b/>
        <sz val="9"/>
        <rFont val="Arial"/>
        <family val="2"/>
        <charset val="1"/>
      </rPr>
      <t>Data Availability Statement</t>
    </r>
  </si>
  <si>
    <r>
      <rPr>
        <sz val="9"/>
        <rFont val="Arial"/>
        <family val="2"/>
        <charset val="1"/>
      </rPr>
      <t xml:space="preserve">First, AR and ZEB mutually inhibit each other [19]. Second, AR suppresses Snail expression [23, 24], while Snail, in turn, activates AR [25, 24] - </t>
    </r>
    <r>
      <rPr>
        <b/>
        <sz val="9"/>
        <rFont val="Arial"/>
        <family val="2"/>
        <charset val="1"/>
      </rPr>
      <t>Results, AR stabilizes hybrid E/M state at a single cell level</t>
    </r>
    <r>
      <rPr>
        <sz val="9"/>
        <rFont val="Arial"/>
        <family val="2"/>
        <charset val="1"/>
      </rPr>
      <t xml:space="preserve"> </t>
    </r>
    <r>
      <rPr>
        <b/>
        <sz val="9"/>
        <rFont val="Arial"/>
        <family val="2"/>
        <charset val="1"/>
      </rPr>
      <t xml:space="preserve">| </t>
    </r>
    <r>
      <rPr>
        <sz val="9"/>
        <rFont val="Arial"/>
        <family val="2"/>
        <charset val="1"/>
      </rPr>
      <t xml:space="preserve">we extended the earlier Notch-EMT circuit proposed by Boareto et al. - </t>
    </r>
    <r>
      <rPr>
        <b/>
        <sz val="9"/>
        <rFont val="Arial"/>
        <family val="2"/>
        <charset val="1"/>
      </rPr>
      <t>Results</t>
    </r>
  </si>
  <si>
    <r>
      <rPr>
        <sz val="9"/>
        <rFont val="Arial"/>
        <family val="2"/>
        <charset val="1"/>
      </rPr>
      <t xml:space="preserve">All the parameter values have been tabulated in the supplementary file - </t>
    </r>
    <r>
      <rPr>
        <b/>
        <sz val="9"/>
        <rFont val="Arial"/>
        <family val="2"/>
        <charset val="1"/>
      </rPr>
      <t>Methodology, Mathematical modeling of the GRN circuit</t>
    </r>
    <r>
      <rPr>
        <sz val="9"/>
        <rFont val="Arial"/>
        <family val="2"/>
        <charset val="1"/>
      </rPr>
      <t xml:space="preserve"> </t>
    </r>
    <r>
      <rPr>
        <b/>
        <sz val="9"/>
        <rFont val="Arial"/>
        <family val="2"/>
        <charset val="1"/>
      </rPr>
      <t xml:space="preserve">| </t>
    </r>
    <r>
      <rPr>
        <sz val="9"/>
        <rFont val="Arial"/>
        <family val="2"/>
        <charset val="1"/>
      </rPr>
      <t xml:space="preserve">Supplementary parameter table not read - </t>
    </r>
    <r>
      <rPr>
        <b/>
        <sz val="9"/>
        <rFont val="Arial"/>
        <family val="2"/>
        <charset val="1"/>
      </rPr>
      <t>checked main text</t>
    </r>
  </si>
  <si>
    <r>
      <rPr>
        <sz val="9"/>
        <rFont val="Arial"/>
        <family val="2"/>
        <charset val="1"/>
      </rPr>
      <t xml:space="preserve">To test the robustness of the model parameters, we performed sensitivity analysis by varying them by 10% - </t>
    </r>
    <r>
      <rPr>
        <b/>
        <sz val="9"/>
        <rFont val="Arial"/>
        <family val="2"/>
        <charset val="1"/>
      </rPr>
      <t>Results, AR stabilizes hybrid E/M state</t>
    </r>
    <r>
      <rPr>
        <sz val="9"/>
        <rFont val="Arial"/>
        <family val="2"/>
        <charset val="1"/>
      </rPr>
      <t xml:space="preserve"> </t>
    </r>
    <r>
      <rPr>
        <b/>
        <sz val="9"/>
        <rFont val="Arial"/>
        <family val="2"/>
        <charset val="1"/>
      </rPr>
      <t xml:space="preserve">| </t>
    </r>
    <r>
      <rPr>
        <sz val="9"/>
        <rFont val="Arial"/>
        <family val="2"/>
        <charset val="1"/>
      </rPr>
      <t xml:space="preserve">For statistical analysis number of replicates were 10 - </t>
    </r>
    <r>
      <rPr>
        <b/>
        <sz val="9"/>
        <rFont val="Arial"/>
        <family val="2"/>
        <charset val="1"/>
      </rPr>
      <t>Figs. 2-4 legends</t>
    </r>
  </si>
  <si>
    <r>
      <rPr>
        <sz val="9"/>
        <rFont val="Arial"/>
        <family val="2"/>
        <charset val="1"/>
      </rPr>
      <t xml:space="preserve">We next investigated whether the predictions from our mechanism-based mathematical model can be supported using publicly available experimental data - </t>
    </r>
    <r>
      <rPr>
        <b/>
        <sz val="9"/>
        <rFont val="Arial"/>
        <family val="2"/>
        <charset val="1"/>
      </rPr>
      <t>Results, AR and JAG1 are co-expressed</t>
    </r>
    <r>
      <rPr>
        <sz val="9"/>
        <rFont val="Arial"/>
        <family val="2"/>
        <charset val="1"/>
      </rPr>
      <t xml:space="preserve"> </t>
    </r>
    <r>
      <rPr>
        <b/>
        <sz val="9"/>
        <rFont val="Arial"/>
        <family val="2"/>
        <charset val="1"/>
      </rPr>
      <t xml:space="preserve">| </t>
    </r>
    <r>
      <rPr>
        <sz val="9"/>
        <rFont val="Arial"/>
        <family val="2"/>
        <charset val="1"/>
      </rPr>
      <t xml:space="preserve">AR and JAG1 were upregulated in the enzalutamide resistant cohort, whereas DLL4 was downregulated - </t>
    </r>
    <r>
      <rPr>
        <b/>
        <sz val="9"/>
        <rFont val="Arial"/>
        <family val="2"/>
        <charset val="1"/>
      </rPr>
      <t>Results, GSE123379 analysis</t>
    </r>
  </si>
  <si>
    <r>
      <rPr>
        <sz val="9"/>
        <rFont val="Arial"/>
        <family val="2"/>
        <charset val="1"/>
      </rPr>
      <t xml:space="preserve">Not reported - t-tests compare simulated conditions; transcriptomic and Kaplan-Meier statistics describe patient data, not model-data agreement - </t>
    </r>
    <r>
      <rPr>
        <b/>
        <sz val="9"/>
        <rFont val="Arial"/>
        <family val="2"/>
        <charset val="1"/>
      </rPr>
      <t>checked Methodology, Results, Figs. 5-6</t>
    </r>
  </si>
  <si>
    <r>
      <rPr>
        <sz val="9"/>
        <rFont val="Arial"/>
        <family val="2"/>
        <charset val="1"/>
      </rPr>
      <t xml:space="preserve">Not reported - no code or data availability statement for the model - </t>
    </r>
    <r>
      <rPr>
        <b/>
        <sz val="9"/>
        <rFont val="Arial"/>
        <family val="2"/>
        <charset val="1"/>
      </rPr>
      <t>checked Methodology, Numerical solving, end matter (bioRxiv version)</t>
    </r>
  </si>
  <si>
    <r>
      <rPr>
        <sz val="9"/>
        <rFont val="Arial"/>
        <family val="2"/>
        <charset val="1"/>
      </rPr>
      <t xml:space="preserve">OVOL and ZEB inhibit each other transcriptionally [29] and OVOL is self-inhibitory [30]. Also, in prostate cancer, but not breast cancer, OVOL activates STAT3 [21] that inhibits miR-200 [31]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Transcriptional regulation is denoted by shifted Hill functions - </t>
    </r>
    <r>
      <rPr>
        <b/>
        <sz val="9"/>
        <rFont val="Arial"/>
        <family val="2"/>
        <charset val="1"/>
      </rPr>
      <t>Methods, Mathematical model formulation</t>
    </r>
  </si>
  <si>
    <r>
      <rPr>
        <sz val="9"/>
        <rFont val="Arial"/>
        <family val="2"/>
        <charset val="1"/>
      </rPr>
      <t xml:space="preserve">the characteristics behavior of the circuit for a wide range of physiologically realistic parameters deduced from experiments (Table S1, 2) - </t>
    </r>
    <r>
      <rPr>
        <b/>
        <sz val="9"/>
        <rFont val="Arial"/>
        <family val="2"/>
        <charset val="1"/>
      </rPr>
      <t>Results, ZEB/OVOL coupling</t>
    </r>
    <r>
      <rPr>
        <sz val="9"/>
        <rFont val="Arial"/>
        <family val="2"/>
        <charset val="1"/>
      </rPr>
      <t xml:space="preserve"> </t>
    </r>
    <r>
      <rPr>
        <b/>
        <sz val="9"/>
        <rFont val="Arial"/>
        <family val="2"/>
        <charset val="1"/>
      </rPr>
      <t xml:space="preserve">| </t>
    </r>
    <r>
      <rPr>
        <sz val="9"/>
        <rFont val="Arial"/>
        <family val="2"/>
        <charset val="1"/>
      </rPr>
      <t xml:space="preserve">Details of the model construction and parameter values used in the model can be found in SI section 1 (Table S1, S2) - </t>
    </r>
    <r>
      <rPr>
        <b/>
        <sz val="9"/>
        <rFont val="Arial"/>
        <family val="2"/>
        <charset val="1"/>
      </rPr>
      <t>Methods</t>
    </r>
  </si>
  <si>
    <r>
      <rPr>
        <sz val="9"/>
        <rFont val="Arial"/>
        <family val="2"/>
        <charset val="1"/>
      </rPr>
      <t xml:space="preserve">The model is quite robust with respect to changes in parameter values as discussed in SI section 2 (Figure S1 for prostate cancer and Figure S2 for breast cancer) - </t>
    </r>
    <r>
      <rPr>
        <b/>
        <sz val="9"/>
        <rFont val="Arial"/>
        <family val="2"/>
        <charset val="1"/>
      </rPr>
      <t>Methods</t>
    </r>
  </si>
  <si>
    <r>
      <rPr>
        <sz val="9"/>
        <rFont val="Arial"/>
        <family val="2"/>
        <charset val="1"/>
      </rPr>
      <t xml:space="preserve">These results explain the experimental observations that overexpression of OVOL in mesenchymal prostate cancer cells (PC3-EMT14) increased the levels of miR-200 only modestly - </t>
    </r>
    <r>
      <rPr>
        <b/>
        <sz val="9"/>
        <rFont val="Arial"/>
        <family val="2"/>
        <charset val="1"/>
      </rPr>
      <t>Results, Over-expression of OVOL can drive MET</t>
    </r>
    <r>
      <rPr>
        <sz val="9"/>
        <rFont val="Arial"/>
        <family val="2"/>
        <charset val="1"/>
      </rPr>
      <t xml:space="preserve"> </t>
    </r>
    <r>
      <rPr>
        <b/>
        <sz val="9"/>
        <rFont val="Arial"/>
        <family val="2"/>
        <charset val="1"/>
      </rPr>
      <t xml:space="preserve">| </t>
    </r>
    <r>
      <rPr>
        <sz val="9"/>
        <rFont val="Arial"/>
        <family val="2"/>
        <charset val="1"/>
      </rPr>
      <t xml:space="preserve">However, future studies are required to validate this proposed role of OVOL - </t>
    </r>
    <r>
      <rPr>
        <b/>
        <sz val="9"/>
        <rFont val="Arial"/>
        <family val="2"/>
        <charset val="1"/>
      </rPr>
      <t>Discussion</t>
    </r>
  </si>
  <si>
    <r>
      <rPr>
        <sz val="9"/>
        <rFont val="Arial"/>
        <family val="2"/>
        <charset val="1"/>
      </rPr>
      <t xml:space="preserve">Not reported - no quantitative comparison of model output with data - </t>
    </r>
    <r>
      <rPr>
        <b/>
        <sz val="9"/>
        <rFont val="Arial"/>
        <family val="2"/>
        <charset val="1"/>
      </rPr>
      <t>checked Results, Discussion, Methods</t>
    </r>
  </si>
  <si>
    <r>
      <rPr>
        <sz val="9"/>
        <rFont val="Arial"/>
        <family val="2"/>
        <charset val="1"/>
      </rPr>
      <t xml:space="preserve">Not reported - no code or data availability statement - </t>
    </r>
    <r>
      <rPr>
        <b/>
        <sz val="9"/>
        <rFont val="Arial"/>
        <family val="2"/>
        <charset val="1"/>
      </rPr>
      <t>checked Methods, Acknowledgments, end matter</t>
    </r>
  </si>
  <si>
    <r>
      <rPr>
        <sz val="9"/>
        <rFont val="Arial"/>
        <family val="2"/>
        <charset val="1"/>
      </rPr>
      <t xml:space="preserve">The temporal dynamics of fractions of different phenotypes in a population predicted by our model agree with those observed for cells isolated from a mouse model of prostate cancer [35]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Justification of the EMT circuit rules not captured in the passages - revisit - </t>
    </r>
    <r>
      <rPr>
        <b/>
        <sz val="9"/>
        <rFont val="Arial"/>
        <family val="2"/>
        <charset val="1"/>
      </rPr>
      <t>checked candidate passages</t>
    </r>
  </si>
  <si>
    <r>
      <rPr>
        <sz val="9"/>
        <rFont val="Arial"/>
        <family val="2"/>
        <charset val="1"/>
      </rPr>
      <t xml:space="preserve">Model predictions shown in Fig 3(A) were obtained by varying the noise parameter eta to minimize the root mean square deviation from experimental data (S6(B) Fig) - </t>
    </r>
    <r>
      <rPr>
        <b/>
        <sz val="9"/>
        <rFont val="Arial"/>
        <family val="2"/>
        <charset val="1"/>
      </rPr>
      <t>Model captures the temporal changes in phenotypic composition</t>
    </r>
    <r>
      <rPr>
        <sz val="9"/>
        <rFont val="Arial"/>
        <family val="2"/>
        <charset val="1"/>
      </rPr>
      <t xml:space="preserve"> </t>
    </r>
    <r>
      <rPr>
        <b/>
        <sz val="9"/>
        <rFont val="Arial"/>
        <family val="2"/>
        <charset val="1"/>
      </rPr>
      <t xml:space="preserve">| </t>
    </r>
    <r>
      <rPr>
        <sz val="9"/>
        <rFont val="Arial"/>
        <family val="2"/>
        <charset val="1"/>
      </rPr>
      <t xml:space="preserve">The ratio of the noise in the partitioning of Isig (eta) to the mean Isig of dividing cells in this case was estimated from the simulations to be ~0.38 - </t>
    </r>
    <r>
      <rPr>
        <b/>
        <sz val="9"/>
        <rFont val="Arial"/>
        <family val="2"/>
        <charset val="1"/>
      </rPr>
      <t>Model captures the temporal changes in phenotypic composition</t>
    </r>
  </si>
  <si>
    <r>
      <rPr>
        <sz val="9"/>
        <rFont val="Arial"/>
        <family val="2"/>
        <charset val="1"/>
      </rPr>
      <t xml:space="preserve">Not reported - no sensitivity or uncertainty analysis found - </t>
    </r>
    <r>
      <rPr>
        <b/>
        <sz val="9"/>
        <rFont val="Arial"/>
        <family val="2"/>
        <charset val="1"/>
      </rPr>
      <t>checked candidate passages - revisit</t>
    </r>
  </si>
  <si>
    <r>
      <rPr>
        <sz val="9"/>
        <rFont val="Arial"/>
        <family val="2"/>
        <charset val="1"/>
      </rPr>
      <t xml:space="preserve">Model predictions shown in Fig 3(A) were obtained by varying the noise parameter eta to minimize the root mean square deviation from experimental data - </t>
    </r>
    <r>
      <rPr>
        <b/>
        <sz val="9"/>
        <rFont val="Arial"/>
        <family val="2"/>
        <charset val="1"/>
      </rPr>
      <t>Model captures the temporal changes in phenotypic composition</t>
    </r>
    <r>
      <rPr>
        <sz val="9"/>
        <rFont val="Arial"/>
        <family val="2"/>
        <charset val="1"/>
      </rPr>
      <t xml:space="preserve"> </t>
    </r>
    <r>
      <rPr>
        <b/>
        <sz val="9"/>
        <rFont val="Arial"/>
        <family val="2"/>
        <charset val="1"/>
      </rPr>
      <t xml:space="preserve">| </t>
    </r>
    <r>
      <rPr>
        <sz val="9"/>
        <rFont val="Arial"/>
        <family val="2"/>
        <charset val="1"/>
      </rPr>
      <t xml:space="preserve">The mouse data used for comparison are the same data used to fit eta - </t>
    </r>
    <r>
      <rPr>
        <b/>
        <sz val="9"/>
        <rFont val="Arial"/>
        <family val="2"/>
        <charset val="1"/>
      </rPr>
      <t>checked Results</t>
    </r>
  </si>
  <si>
    <r>
      <rPr>
        <sz val="9"/>
        <rFont val="Arial"/>
        <family val="2"/>
        <charset val="1"/>
      </rPr>
      <t xml:space="preserve">Model predictions for the average doubling time of cells that minimizes the root mean square deviation from experimental data are shown in S8 Fig - </t>
    </r>
    <r>
      <rPr>
        <b/>
        <sz val="9"/>
        <rFont val="Arial"/>
        <family val="2"/>
        <charset val="1"/>
      </rPr>
      <t>Model captures the temporal changes in phenotypic composition</t>
    </r>
  </si>
  <si>
    <r>
      <rPr>
        <sz val="9"/>
        <rFont val="Arial"/>
        <family val="2"/>
        <charset val="1"/>
      </rPr>
      <t xml:space="preserve">C++ code used to generate the figures presented in the study is available online on GitHub (https://github.com/st35/cancer-EMT-heterogeneity-noise) - </t>
    </r>
    <r>
      <rPr>
        <b/>
        <sz val="9"/>
        <rFont val="Arial"/>
        <family val="2"/>
        <charset val="1"/>
      </rPr>
      <t>Computer simulation of the model</t>
    </r>
  </si>
  <si>
    <r>
      <rPr>
        <sz val="9"/>
        <rFont val="Arial"/>
        <family val="2"/>
        <charset val="1"/>
      </rPr>
      <t xml:space="preserve">We extended our previously published multiscale mathematical model that captures the complex spatiotemporal interactions of competing tumour cell phenotypes and microenvironmental selection forces, such as oxygen, glucose and acidosis [28,29] - </t>
    </r>
    <r>
      <rPr>
        <b/>
        <sz val="9"/>
        <rFont val="Arial"/>
        <family val="2"/>
        <charset val="1"/>
      </rPr>
      <t>Methods, Agent-based model</t>
    </r>
    <r>
      <rPr>
        <sz val="9"/>
        <rFont val="Arial"/>
        <family val="2"/>
        <charset val="1"/>
      </rPr>
      <t xml:space="preserve"> </t>
    </r>
    <r>
      <rPr>
        <b/>
        <sz val="9"/>
        <rFont val="Arial"/>
        <family val="2"/>
        <charset val="1"/>
      </rPr>
      <t xml:space="preserve">| </t>
    </r>
    <r>
      <rPr>
        <sz val="9"/>
        <rFont val="Arial"/>
        <family val="2"/>
        <charset val="1"/>
      </rPr>
      <t xml:space="preserve">Although T cells are a major component of the immune response in many solid tumours, prostate cancer tends to be immunologically cold and have minimal T cell infiltration [32] - </t>
    </r>
    <r>
      <rPr>
        <b/>
        <sz val="9"/>
        <rFont val="Arial"/>
        <family val="2"/>
        <charset val="1"/>
      </rPr>
      <t>Methods, Agent-based model</t>
    </r>
    <r>
      <rPr>
        <sz val="9"/>
        <rFont val="Arial"/>
        <family val="2"/>
        <charset val="1"/>
      </rPr>
      <t xml:space="preserve"> </t>
    </r>
    <r>
      <rPr>
        <b/>
        <sz val="9"/>
        <rFont val="Arial"/>
        <family val="2"/>
        <charset val="1"/>
      </rPr>
      <t xml:space="preserve">| </t>
    </r>
    <r>
      <rPr>
        <sz val="9"/>
        <rFont val="Arial"/>
        <family val="2"/>
        <charset val="1"/>
      </rPr>
      <t xml:space="preserve">In vitro macrophages polarized to an M1 state are assumed to represent the extreme end of the M1 phenotype ... yielding e=-0.5a -0.5b + 0.5c + 0.5d = -1 - </t>
    </r>
    <r>
      <rPr>
        <b/>
        <sz val="9"/>
        <rFont val="Arial"/>
        <family val="2"/>
        <charset val="1"/>
      </rPr>
      <t>Supplementary Materials and Methods</t>
    </r>
  </si>
  <si>
    <r>
      <rPr>
        <sz val="9"/>
        <rFont val="Arial"/>
        <family val="2"/>
        <charset val="1"/>
      </rPr>
      <t xml:space="preserve">To calibrate the macrophage behaviour, we used the statistical package R to fit a linear model to specific gene expression data, in different ecological conditions, collected in the in vitro experiments described in Fig. 2h - </t>
    </r>
    <r>
      <rPr>
        <b/>
        <sz val="9"/>
        <rFont val="Arial"/>
        <family val="2"/>
        <charset val="1"/>
      </rPr>
      <t>Methods, Agent-based model</t>
    </r>
    <r>
      <rPr>
        <sz val="9"/>
        <rFont val="Arial"/>
        <family val="2"/>
        <charset val="1"/>
      </rPr>
      <t xml:space="preserve"> </t>
    </r>
    <r>
      <rPr>
        <b/>
        <sz val="9"/>
        <rFont val="Arial"/>
        <family val="2"/>
        <charset val="1"/>
      </rPr>
      <t xml:space="preserve">| </t>
    </r>
    <r>
      <rPr>
        <sz val="9"/>
        <rFont val="Arial"/>
        <family val="2"/>
        <charset val="1"/>
      </rPr>
      <t xml:space="preserve">The mathematical model is a two-dimensional hybrid cellular automaton ... the parameter values can be found in Table S5 - </t>
    </r>
    <r>
      <rPr>
        <b/>
        <sz val="9"/>
        <rFont val="Arial"/>
        <family val="2"/>
        <charset val="1"/>
      </rPr>
      <t>Supplementary Materials and Methods</t>
    </r>
    <r>
      <rPr>
        <sz val="9"/>
        <rFont val="Arial"/>
        <family val="2"/>
        <charset val="1"/>
      </rPr>
      <t xml:space="preserve"> </t>
    </r>
    <r>
      <rPr>
        <b/>
        <sz val="9"/>
        <rFont val="Arial"/>
        <family val="2"/>
        <charset val="1"/>
      </rPr>
      <t xml:space="preserve">| </t>
    </r>
    <r>
      <rPr>
        <sz val="9"/>
        <rFont val="Arial"/>
        <family val="2"/>
        <charset val="1"/>
      </rPr>
      <t xml:space="preserve">Value, unit and source given for every parameter, but ~10 core parameters sourced only as "Model" and the macrophage/cytokine parameters (λ, θ, ω, macrophage and initial tumour numbers) as "Model specific" - </t>
    </r>
    <r>
      <rPr>
        <b/>
        <sz val="9"/>
        <rFont val="Arial"/>
        <family val="2"/>
        <charset val="1"/>
      </rPr>
      <t>Supplementary Tables S5, S7</t>
    </r>
  </si>
  <si>
    <r>
      <rPr>
        <sz val="9"/>
        <rFont val="Arial"/>
        <family val="2"/>
        <charset val="1"/>
      </rPr>
      <t xml:space="preserve">Each scenario was run 100 times, and the time of 90% takeover was recorded at the end of each run - </t>
    </r>
    <r>
      <rPr>
        <b/>
        <sz val="9"/>
        <rFont val="Arial"/>
        <family val="2"/>
        <charset val="1"/>
      </rPr>
      <t>Results, Acid-responsive macrophages promote tumour growth in silico</t>
    </r>
  </si>
  <si>
    <r>
      <rPr>
        <sz val="9"/>
        <rFont val="Arial"/>
        <family val="2"/>
        <charset val="1"/>
      </rPr>
      <t xml:space="preserve">To our knowledge, this experiment can only be conducted in silico, as it is not possible to experimentally "turn off" a macrophage's response to extracellular pH - </t>
    </r>
    <r>
      <rPr>
        <b/>
        <sz val="9"/>
        <rFont val="Arial"/>
        <family val="2"/>
        <charset val="1"/>
      </rPr>
      <t>Results, Acid-responsive macrophages promote tumour growth in silico</t>
    </r>
    <r>
      <rPr>
        <sz val="9"/>
        <rFont val="Arial"/>
        <family val="2"/>
        <charset val="1"/>
      </rPr>
      <t xml:space="preserve"> </t>
    </r>
    <r>
      <rPr>
        <b/>
        <sz val="9"/>
        <rFont val="Arial"/>
        <family val="2"/>
        <charset val="1"/>
      </rPr>
      <t xml:space="preserve">| </t>
    </r>
    <r>
      <rPr>
        <sz val="9"/>
        <rFont val="Arial"/>
        <family val="2"/>
        <charset val="1"/>
      </rPr>
      <t xml:space="preserve">No comparison of model output with in vivo or clinical data reported - </t>
    </r>
    <r>
      <rPr>
        <b/>
        <sz val="9"/>
        <rFont val="Arial"/>
        <family val="2"/>
        <charset val="1"/>
      </rPr>
      <t>checked Methods, Results, Fig. 5</t>
    </r>
  </si>
  <si>
    <r>
      <rPr>
        <sz val="9"/>
        <rFont val="Arial"/>
        <family val="2"/>
        <charset val="1"/>
      </rPr>
      <t xml:space="preserve">For the mathematical model, Mantel-Haenszel test in the R package "survival" was used - </t>
    </r>
    <r>
      <rPr>
        <b/>
        <sz val="9"/>
        <rFont val="Arial"/>
        <family val="2"/>
        <charset val="1"/>
      </rPr>
      <t>Methods, Quantification and statistical analysis</t>
    </r>
    <r>
      <rPr>
        <sz val="9"/>
        <rFont val="Arial"/>
        <family val="2"/>
        <charset val="1"/>
      </rPr>
      <t xml:space="preserve"> </t>
    </r>
    <r>
      <rPr>
        <b/>
        <sz val="9"/>
        <rFont val="Arial"/>
        <family val="2"/>
        <charset val="1"/>
      </rPr>
      <t xml:space="preserve">| </t>
    </r>
    <r>
      <rPr>
        <sz val="9"/>
        <rFont val="Arial"/>
        <family val="2"/>
        <charset val="1"/>
      </rPr>
      <t xml:space="preserve">Not reported - this test compares two simulated scenarios; no model-vs-data agreement metric - </t>
    </r>
    <r>
      <rPr>
        <b/>
        <sz val="9"/>
        <rFont val="Arial"/>
        <family val="2"/>
        <charset val="1"/>
      </rPr>
      <t>checked Methods, Results, Fig. 5</t>
    </r>
  </si>
  <si>
    <r>
      <rPr>
        <sz val="9"/>
        <rFont val="Arial"/>
        <family val="2"/>
        <charset val="1"/>
      </rPr>
      <t xml:space="preserve">Mathematical model code is available for access on github https://github.com/MathOnco/macrophage_pH - </t>
    </r>
    <r>
      <rPr>
        <b/>
        <sz val="9"/>
        <rFont val="Arial"/>
        <family val="2"/>
        <charset val="1"/>
      </rPr>
      <t>Data availability</t>
    </r>
    <r>
      <rPr>
        <sz val="9"/>
        <rFont val="Arial"/>
        <family val="2"/>
        <charset val="1"/>
      </rPr>
      <t xml:space="preserve"> </t>
    </r>
    <r>
      <rPr>
        <b/>
        <sz val="9"/>
        <rFont val="Arial"/>
        <family val="2"/>
        <charset val="1"/>
      </rPr>
      <t xml:space="preserve">| </t>
    </r>
    <r>
      <rPr>
        <sz val="9"/>
        <rFont val="Arial"/>
        <family val="2"/>
        <charset val="1"/>
      </rPr>
      <t xml:space="preserve">Repository contains only a compiled macrophage.jar and run_sims.sh, 1 commit; no source code or parameter files (checked 24 Sep 2026) - </t>
    </r>
    <r>
      <rPr>
        <b/>
        <sz val="9"/>
        <rFont val="Arial"/>
        <family val="2"/>
        <charset val="1"/>
      </rPr>
      <t>GitHub MathOnco/macrophage_pH</t>
    </r>
  </si>
  <si>
    <r>
      <rPr>
        <sz val="9"/>
        <rFont val="Arial"/>
        <family val="2"/>
        <charset val="1"/>
      </rPr>
      <t xml:space="preserve">Instead of equating gene expression to protein levels, we assumed that protein secretion rates were proportional to gene expression in our patient-specific simulations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VEGF secretion and total Sema3 secretion most strongly affect their respective ligand-receptor complexes although weak competitive effects are observed - </t>
    </r>
    <r>
      <rPr>
        <b/>
        <sz val="9"/>
        <rFont val="Arial"/>
        <family val="2"/>
        <charset val="1"/>
      </rPr>
      <t>Fig. 5 legend</t>
    </r>
  </si>
  <si>
    <r>
      <rPr>
        <sz val="9"/>
        <rFont val="Arial"/>
        <family val="2"/>
        <charset val="1"/>
      </rPr>
      <t xml:space="preserve">More details on the computational model can be found in Additional file 2, with parameter values given in Additional file 2: Tables S8-S12 - </t>
    </r>
    <r>
      <rPr>
        <b/>
        <sz val="9"/>
        <rFont val="Arial"/>
        <family val="2"/>
        <charset val="1"/>
      </rPr>
      <t>Simulation of VEGF/Sema binding</t>
    </r>
    <r>
      <rPr>
        <sz val="9"/>
        <rFont val="Arial"/>
        <family val="2"/>
        <charset val="1"/>
      </rPr>
      <t xml:space="preserve"> </t>
    </r>
    <r>
      <rPr>
        <b/>
        <sz val="9"/>
        <rFont val="Arial"/>
        <family val="2"/>
        <charset val="1"/>
      </rPr>
      <t xml:space="preserve">| </t>
    </r>
    <r>
      <rPr>
        <sz val="9"/>
        <rFont val="Arial"/>
        <family val="2"/>
        <charset val="1"/>
      </rPr>
      <t xml:space="preserve">Additional file 2 not read - </t>
    </r>
    <r>
      <rPr>
        <b/>
        <sz val="9"/>
        <rFont val="Arial"/>
        <family val="2"/>
        <charset val="1"/>
      </rPr>
      <t>checked main text</t>
    </r>
  </si>
  <si>
    <r>
      <rPr>
        <sz val="9"/>
        <rFont val="Arial"/>
        <family val="2"/>
        <charset val="1"/>
      </rPr>
      <t xml:space="preserve">Not reported - no sensitivity analysis of the binding model in the main text - </t>
    </r>
    <r>
      <rPr>
        <b/>
        <sz val="9"/>
        <rFont val="Arial"/>
        <family val="2"/>
        <charset val="1"/>
      </rPr>
      <t>checked Results, Methods</t>
    </r>
  </si>
  <si>
    <r>
      <rPr>
        <sz val="9"/>
        <rFont val="Arial"/>
        <family val="2"/>
        <charset val="1"/>
      </rPr>
      <t xml:space="preserve">Further validation against published in vitro data may allow us to refine this assumption for specific VEGF and Semaphorin ligands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Cross-validation reported applies to the statistical PLS-DA classifiers, not the mechanistic model - </t>
    </r>
    <r>
      <rPr>
        <b/>
        <sz val="9"/>
        <rFont val="Arial"/>
        <family val="2"/>
        <charset val="1"/>
      </rPr>
      <t>Comparison of prostate tissue types</t>
    </r>
  </si>
  <si>
    <r>
      <rPr>
        <sz val="9"/>
        <rFont val="Arial"/>
        <family val="2"/>
        <charset val="1"/>
      </rPr>
      <t xml:space="preserve">R2 values represent the proportion of variance explained by the least squares fit - </t>
    </r>
    <r>
      <rPr>
        <b/>
        <sz val="9"/>
        <rFont val="Arial"/>
        <family val="2"/>
        <charset val="1"/>
      </rPr>
      <t>Fig. 5 legend</t>
    </r>
    <r>
      <rPr>
        <sz val="9"/>
        <rFont val="Arial"/>
        <family val="2"/>
        <charset val="1"/>
      </rPr>
      <t xml:space="preserve"> </t>
    </r>
    <r>
      <rPr>
        <b/>
        <sz val="9"/>
        <rFont val="Arial"/>
        <family val="2"/>
        <charset val="1"/>
      </rPr>
      <t xml:space="preserve">| </t>
    </r>
    <r>
      <rPr>
        <sz val="9"/>
        <rFont val="Arial"/>
        <family val="2"/>
        <charset val="1"/>
      </rPr>
      <t xml:space="preserve">R2 relates simulated binding to the input gene expression, not to measured data - </t>
    </r>
    <r>
      <rPr>
        <b/>
        <sz val="9"/>
        <rFont val="Arial"/>
        <family val="2"/>
        <charset val="1"/>
      </rPr>
      <t>checked Results, Fig. 5</t>
    </r>
  </si>
  <si>
    <r>
      <rPr>
        <sz val="9"/>
        <rFont val="Arial"/>
        <family val="2"/>
        <charset val="1"/>
      </rPr>
      <t xml:space="preserve">Based on Darcy equation, the interstitial fluid velocity (IFV) is determined by the gradient of pressure; therefore [19,29] - </t>
    </r>
    <r>
      <rPr>
        <b/>
        <sz val="9"/>
        <rFont val="Arial"/>
        <family val="2"/>
        <charset val="1"/>
      </rPr>
      <t>2.2 Interstitial fluid flow</t>
    </r>
    <r>
      <rPr>
        <sz val="9"/>
        <rFont val="Arial"/>
        <family val="2"/>
        <charset val="1"/>
      </rPr>
      <t xml:space="preserve"> </t>
    </r>
    <r>
      <rPr>
        <b/>
        <sz val="9"/>
        <rFont val="Arial"/>
        <family val="2"/>
        <charset val="1"/>
      </rPr>
      <t xml:space="preserve">| </t>
    </r>
    <r>
      <rPr>
        <sz val="9"/>
        <rFont val="Arial"/>
        <family val="2"/>
        <charset val="1"/>
      </rPr>
      <t xml:space="preserve">Based on Starling's law, the transvascular flow rate is calculated by the following equation [33] - </t>
    </r>
    <r>
      <rPr>
        <b/>
        <sz val="9"/>
        <rFont val="Arial"/>
        <family val="2"/>
        <charset val="1"/>
      </rPr>
      <t>2.2 Interstitial fluid flow</t>
    </r>
    <r>
      <rPr>
        <sz val="9"/>
        <rFont val="Arial"/>
        <family val="2"/>
        <charset val="1"/>
      </rPr>
      <t xml:space="preserve"> </t>
    </r>
    <r>
      <rPr>
        <b/>
        <sz val="9"/>
        <rFont val="Arial"/>
        <family val="2"/>
        <charset val="1"/>
      </rPr>
      <t xml:space="preserve">| </t>
    </r>
    <r>
      <rPr>
        <sz val="9"/>
        <rFont val="Arial"/>
        <family val="2"/>
        <charset val="1"/>
      </rPr>
      <t xml:space="preserve">There is a competitive process for free receptors between the systems (labeled and unlabeled PSMA-617) - </t>
    </r>
    <r>
      <rPr>
        <b/>
        <sz val="9"/>
        <rFont val="Arial"/>
        <family val="2"/>
        <charset val="1"/>
      </rPr>
      <t>2.3 177Lu-PSMA-617 transport in a porous medium</t>
    </r>
  </si>
  <si>
    <r>
      <rPr>
        <sz val="9"/>
        <rFont val="Arial"/>
        <family val="2"/>
        <charset val="1"/>
      </rPr>
      <t xml:space="preserve">A comprehensive elucidation of the model, including boundary conditions, numerical methodologies, simulations, and parameters, is provided in the Supplementary Material file - </t>
    </r>
    <r>
      <rPr>
        <b/>
        <sz val="9"/>
        <rFont val="Arial"/>
        <family val="2"/>
        <charset val="1"/>
      </rPr>
      <t>2.1 Spatiotemporal distribution model</t>
    </r>
    <r>
      <rPr>
        <sz val="9"/>
        <rFont val="Arial"/>
        <family val="2"/>
        <charset val="1"/>
      </rPr>
      <t xml:space="preserve"> </t>
    </r>
    <r>
      <rPr>
        <b/>
        <sz val="9"/>
        <rFont val="Arial"/>
        <family val="2"/>
        <charset val="1"/>
      </rPr>
      <t xml:space="preserve">| </t>
    </r>
    <r>
      <rPr>
        <sz val="9"/>
        <rFont val="Arial"/>
        <family val="2"/>
        <charset val="1"/>
      </rPr>
      <t xml:space="preserve">Supplementary parameter table not read; KD (1, 0.1, 0.01 nM) and kint (0.01-0.0001 1/min) are scanned rather than estimated - </t>
    </r>
    <r>
      <rPr>
        <b/>
        <sz val="9"/>
        <rFont val="Arial"/>
        <family val="2"/>
        <charset val="1"/>
      </rPr>
      <t>Abstract, 3.1</t>
    </r>
  </si>
  <si>
    <r>
      <rPr>
        <sz val="9"/>
        <rFont val="Arial"/>
        <family val="2"/>
        <charset val="1"/>
      </rPr>
      <t xml:space="preserve">the influence of each parameter on TIA has been scrutinized through the calculation of coefficients of variation (CV) - </t>
    </r>
    <r>
      <rPr>
        <b/>
        <sz val="9"/>
        <rFont val="Arial"/>
        <family val="2"/>
        <charset val="1"/>
      </rPr>
      <t>3.3 Exploring the impact of parameters on TIA</t>
    </r>
    <r>
      <rPr>
        <sz val="9"/>
        <rFont val="Arial"/>
        <family val="2"/>
        <charset val="1"/>
      </rPr>
      <t xml:space="preserve"> </t>
    </r>
    <r>
      <rPr>
        <b/>
        <sz val="9"/>
        <rFont val="Arial"/>
        <family val="2"/>
        <charset val="1"/>
      </rPr>
      <t xml:space="preserve">| </t>
    </r>
    <r>
      <rPr>
        <sz val="9"/>
        <rFont val="Arial"/>
        <family val="2"/>
        <charset val="1"/>
      </rPr>
      <t xml:space="preserve">Internalization rate CV 53%, affinity 26.7%, necrotic core size 0.02-0.04%, tumour shape 0.3% - one-factor scenario sweeps, not a global method - </t>
    </r>
    <r>
      <rPr>
        <b/>
        <sz val="9"/>
        <rFont val="Arial"/>
        <family val="2"/>
        <charset val="1"/>
      </rPr>
      <t>Table 1</t>
    </r>
  </si>
  <si>
    <r>
      <rPr>
        <sz val="9"/>
        <rFont val="Arial"/>
        <family val="2"/>
        <charset val="1"/>
      </rPr>
      <t xml:space="preserve">the concentration of 177Lu-PSMA in the present computational model was compared with the experimental study conducted by Delker et al. [39], which focused on dosimetry for 177Lu-PSMA-617 - </t>
    </r>
    <r>
      <rPr>
        <b/>
        <sz val="9"/>
        <rFont val="Arial"/>
        <family val="2"/>
        <charset val="1"/>
      </rPr>
      <t>2.4 Validation of model predictions</t>
    </r>
    <r>
      <rPr>
        <sz val="9"/>
        <rFont val="Arial"/>
        <family val="2"/>
        <charset val="1"/>
      </rPr>
      <t xml:space="preserve"> </t>
    </r>
    <r>
      <rPr>
        <b/>
        <sz val="9"/>
        <rFont val="Arial"/>
        <family val="2"/>
        <charset val="1"/>
      </rPr>
      <t xml:space="preserve">| </t>
    </r>
    <r>
      <rPr>
        <sz val="9"/>
        <rFont val="Arial"/>
        <family val="2"/>
        <charset val="1"/>
      </rPr>
      <t xml:space="preserve">IFP and IFV in the present model have been compared with those of Kashkooli et al. [31], which show high compatibility - </t>
    </r>
    <r>
      <rPr>
        <b/>
        <sz val="9"/>
        <rFont val="Arial"/>
        <family val="2"/>
        <charset val="1"/>
      </rPr>
      <t>Fig. 2 legend</t>
    </r>
  </si>
  <si>
    <r>
      <rPr>
        <sz val="9"/>
        <rFont val="Arial"/>
        <family val="2"/>
        <charset val="1"/>
      </rPr>
      <t xml:space="preserve">AUC_present model = 66,918.5 [(kBq/ml).h], AUC_Delker et al.'s study = 71,989.7 [(kBq/ml).h] - </t>
    </r>
    <r>
      <rPr>
        <b/>
        <sz val="9"/>
        <rFont val="Arial"/>
        <family val="2"/>
        <charset val="1"/>
      </rPr>
      <t>Fig. 3 legend</t>
    </r>
    <r>
      <rPr>
        <sz val="9"/>
        <rFont val="Arial"/>
        <family val="2"/>
        <charset val="1"/>
      </rPr>
      <t xml:space="preserve"> </t>
    </r>
    <r>
      <rPr>
        <b/>
        <sz val="9"/>
        <rFont val="Arial"/>
        <family val="2"/>
        <charset val="1"/>
      </rPr>
      <t xml:space="preserve">| </t>
    </r>
    <r>
      <rPr>
        <sz val="9"/>
        <rFont val="Arial"/>
        <family val="2"/>
        <charset val="1"/>
      </rPr>
      <t xml:space="preserve">the AUC values exhibited a high level of agreement, with a minimal difference of only 7 % - </t>
    </r>
    <r>
      <rPr>
        <b/>
        <sz val="9"/>
        <rFont val="Arial"/>
        <family val="2"/>
        <charset val="1"/>
      </rPr>
      <t>2.4 Validation of model predictions</t>
    </r>
  </si>
  <si>
    <r>
      <rPr>
        <sz val="9"/>
        <rFont val="Arial"/>
        <family val="2"/>
        <charset val="1"/>
      </rPr>
      <t xml:space="preserve">All data used for this study are available from the corresponding author upon request - </t>
    </r>
    <r>
      <rPr>
        <b/>
        <sz val="9"/>
        <rFont val="Arial"/>
        <family val="2"/>
        <charset val="1"/>
      </rPr>
      <t>Data availability</t>
    </r>
    <r>
      <rPr>
        <sz val="9"/>
        <rFont val="Arial"/>
        <family val="2"/>
        <charset val="1"/>
      </rPr>
      <t xml:space="preserve"> </t>
    </r>
    <r>
      <rPr>
        <b/>
        <sz val="9"/>
        <rFont val="Arial"/>
        <family val="2"/>
        <charset val="1"/>
      </rPr>
      <t xml:space="preserve">| </t>
    </r>
    <r>
      <rPr>
        <sz val="9"/>
        <rFont val="Arial"/>
        <family val="2"/>
        <charset val="1"/>
      </rPr>
      <t xml:space="preserve">No code shared - </t>
    </r>
    <r>
      <rPr>
        <b/>
        <sz val="9"/>
        <rFont val="Arial"/>
        <family val="2"/>
        <charset val="1"/>
      </rPr>
      <t>checked Data availability, Supplementary materials</t>
    </r>
  </si>
  <si>
    <r>
      <rPr>
        <sz val="9"/>
        <rFont val="Arial"/>
        <family val="2"/>
        <charset val="1"/>
      </rPr>
      <t xml:space="preserve">Accordingly to the published literature, the oxygen transport is modelled as a purely diffusive process that is in equilibrium with cellular oxygen consumption [25-27,29] - </t>
    </r>
    <r>
      <rPr>
        <b/>
        <sz val="9"/>
        <rFont val="Arial"/>
        <family val="2"/>
        <charset val="1"/>
      </rPr>
      <t>2.5 Tissue Oxygenation Models</t>
    </r>
    <r>
      <rPr>
        <sz val="9"/>
        <rFont val="Arial"/>
        <family val="2"/>
        <charset val="1"/>
      </rPr>
      <t xml:space="preserve"> </t>
    </r>
    <r>
      <rPr>
        <b/>
        <sz val="9"/>
        <rFont val="Arial"/>
        <family val="2"/>
        <charset val="1"/>
      </rPr>
      <t xml:space="preserve">| </t>
    </r>
    <r>
      <rPr>
        <sz val="9"/>
        <rFont val="Arial"/>
        <family val="2"/>
        <charset val="1"/>
      </rPr>
      <t xml:space="preserve">The absorbed dose in each voxel of the domain has been calculated accordingly to the MIRD formalism [47] - </t>
    </r>
    <r>
      <rPr>
        <b/>
        <sz val="9"/>
        <rFont val="Arial"/>
        <family val="2"/>
        <charset val="1"/>
      </rPr>
      <t>2.7 Absorbed Dose and Cell Survival Probability</t>
    </r>
  </si>
  <si>
    <r>
      <rPr>
        <sz val="9"/>
        <rFont val="Arial"/>
        <family val="2"/>
        <charset val="1"/>
      </rPr>
      <t xml:space="preserve">Table 1 lists the parameter estimates deduced from the literature [36-38] - </t>
    </r>
    <r>
      <rPr>
        <b/>
        <sz val="9"/>
        <rFont val="Arial"/>
        <family val="2"/>
        <charset val="1"/>
      </rPr>
      <t>2.4 Multi-Scale Spatial-Temporal Models of PSMA-Ligands Dynamics</t>
    </r>
    <r>
      <rPr>
        <sz val="9"/>
        <rFont val="Arial"/>
        <family val="2"/>
        <charset val="1"/>
      </rPr>
      <t xml:space="preserve"> </t>
    </r>
    <r>
      <rPr>
        <b/>
        <sz val="9"/>
        <rFont val="Arial"/>
        <family val="2"/>
        <charset val="1"/>
      </rPr>
      <t xml:space="preserve">| </t>
    </r>
    <r>
      <rPr>
        <sz val="9"/>
        <rFont val="Arial"/>
        <family val="2"/>
        <charset val="1"/>
      </rPr>
      <t xml:space="preserve">Every parameter in Tables 1-3 has a reference; receptor density R0 is marked "fitted" - </t>
    </r>
    <r>
      <rPr>
        <b/>
        <sz val="9"/>
        <rFont val="Arial"/>
        <family val="2"/>
        <charset val="1"/>
      </rPr>
      <t>Tables 1-3</t>
    </r>
  </si>
  <si>
    <r>
      <rPr>
        <sz val="9"/>
        <rFont val="Arial"/>
        <family val="2"/>
        <charset val="1"/>
      </rPr>
      <t xml:space="preserve">Not reported - no parameter sensitivity or uncertainty analysis; variation is across 10 ROIs of differing vascularity only - </t>
    </r>
    <r>
      <rPr>
        <b/>
        <sz val="9"/>
        <rFont val="Arial"/>
        <family val="2"/>
        <charset val="1"/>
      </rPr>
      <t>checked Methods 2.3-2.7, Results, Discussion</t>
    </r>
  </si>
  <si>
    <r>
      <rPr>
        <sz val="9"/>
        <rFont val="Arial"/>
        <family val="2"/>
        <charset val="1"/>
      </rPr>
      <t xml:space="preserve">The resulting pO2 median calculated for each ROI spans in the range between 0.5 mmHg and 7.65 mmHg ... These values are in agreement with the reported literature values for prostate tumors [40] - </t>
    </r>
    <r>
      <rPr>
        <b/>
        <sz val="9"/>
        <rFont val="Arial"/>
        <family val="2"/>
        <charset val="1"/>
      </rPr>
      <t>3.1 Tissue Oxygenation</t>
    </r>
    <r>
      <rPr>
        <sz val="9"/>
        <rFont val="Arial"/>
        <family val="2"/>
        <charset val="1"/>
      </rPr>
      <t xml:space="preserve"> </t>
    </r>
    <r>
      <rPr>
        <b/>
        <sz val="9"/>
        <rFont val="Arial"/>
        <family val="2"/>
        <charset val="1"/>
      </rPr>
      <t xml:space="preserve">| </t>
    </r>
    <r>
      <rPr>
        <sz val="9"/>
        <rFont val="Arial"/>
        <family val="2"/>
        <charset val="1"/>
      </rPr>
      <t xml:space="preserve">The theoretical predictions of this paper should be further investigated experimentally - </t>
    </r>
    <r>
      <rPr>
        <b/>
        <sz val="9"/>
        <rFont val="Arial"/>
        <family val="2"/>
        <charset val="1"/>
      </rPr>
      <t>4. Discussion</t>
    </r>
  </si>
  <si>
    <r>
      <rPr>
        <sz val="9"/>
        <rFont val="Arial"/>
        <family val="2"/>
        <charset val="1"/>
      </rPr>
      <t xml:space="preserve">A linear model was fitted to explore the relationship between the mean deposited dose and the Log10 median tissue oxygenation - </t>
    </r>
    <r>
      <rPr>
        <b/>
        <sz val="9"/>
        <rFont val="Arial"/>
        <family val="2"/>
        <charset val="1"/>
      </rPr>
      <t>3.2 Dose Distribution in Tumor Microenvironment</t>
    </r>
    <r>
      <rPr>
        <sz val="9"/>
        <rFont val="Arial"/>
        <family val="2"/>
        <charset val="1"/>
      </rPr>
      <t xml:space="preserve"> </t>
    </r>
    <r>
      <rPr>
        <b/>
        <sz val="9"/>
        <rFont val="Arial"/>
        <family val="2"/>
        <charset val="1"/>
      </rPr>
      <t xml:space="preserve">| </t>
    </r>
    <r>
      <rPr>
        <sz val="9"/>
        <rFont val="Arial"/>
        <family val="2"/>
        <charset val="1"/>
      </rPr>
      <t xml:space="preserve">R2 relates two model outputs to each other, not model to data - </t>
    </r>
    <r>
      <rPr>
        <b/>
        <sz val="9"/>
        <rFont val="Arial"/>
        <family val="2"/>
        <charset val="1"/>
      </rPr>
      <t>checked Results 3.1-3.3</t>
    </r>
  </si>
  <si>
    <r>
      <rPr>
        <sz val="9"/>
        <rFont val="Arial"/>
        <family val="2"/>
        <charset val="1"/>
      </rPr>
      <t xml:space="preserve">The Python script used to generate ROIs can be downloaded at https://www.dropbox.com/sh/fy5ud6f7vovh4ty/... - </t>
    </r>
    <r>
      <rPr>
        <b/>
        <sz val="9"/>
        <rFont val="Arial"/>
        <family val="2"/>
        <charset val="1"/>
      </rPr>
      <t>Data Availability Statement</t>
    </r>
    <r>
      <rPr>
        <sz val="9"/>
        <rFont val="Arial"/>
        <family val="2"/>
        <charset val="1"/>
      </rPr>
      <t xml:space="preserve"> </t>
    </r>
    <r>
      <rPr>
        <b/>
        <sz val="9"/>
        <rFont val="Arial"/>
        <family val="2"/>
        <charset val="1"/>
      </rPr>
      <t xml:space="preserve">| </t>
    </r>
    <r>
      <rPr>
        <sz val="9"/>
        <rFont val="Arial"/>
        <family val="2"/>
        <charset val="1"/>
      </rPr>
      <t xml:space="preserve">Only the image pre-processing script is shared; the FreeFem++ transport/dose model code is not - </t>
    </r>
    <r>
      <rPr>
        <b/>
        <sz val="9"/>
        <rFont val="Arial"/>
        <family val="2"/>
        <charset val="1"/>
      </rPr>
      <t>checked Data Availability, 2.4</t>
    </r>
  </si>
  <si>
    <r>
      <rPr>
        <sz val="9"/>
        <rFont val="Arial"/>
        <family val="2"/>
        <charset val="1"/>
      </rPr>
      <t xml:space="preserve">we computed the spatiotemporal biodistribution of each radiopharmaceutical using a three-compartment (interstitial, bounded, internalized) convection-reaction-diffusion (CRD) model - </t>
    </r>
    <r>
      <rPr>
        <b/>
        <sz val="9"/>
        <rFont val="Arial"/>
        <family val="2"/>
        <charset val="1"/>
      </rPr>
      <t>Introduction</t>
    </r>
    <r>
      <rPr>
        <sz val="9"/>
        <rFont val="Arial"/>
        <family val="2"/>
        <charset val="1"/>
      </rPr>
      <t xml:space="preserve"> </t>
    </r>
    <r>
      <rPr>
        <b/>
        <sz val="9"/>
        <rFont val="Arial"/>
        <family val="2"/>
        <charset val="1"/>
      </rPr>
      <t xml:space="preserve">| </t>
    </r>
    <r>
      <rPr>
        <sz val="9"/>
        <rFont val="Arial"/>
        <family val="2"/>
        <charset val="1"/>
      </rPr>
      <t xml:space="preserve">Dosimetry was estimated using the Medical Internal Radiation Dose (MIRD) formalism, applying the dose point kernels (DVK) method - </t>
    </r>
    <r>
      <rPr>
        <b/>
        <sz val="9"/>
        <rFont val="Arial"/>
        <family val="2"/>
        <charset val="1"/>
      </rPr>
      <t>Abstract, Methods</t>
    </r>
  </si>
  <si>
    <r>
      <rPr>
        <sz val="9"/>
        <rFont val="Arial"/>
        <family val="2"/>
        <charset val="1"/>
      </rPr>
      <t xml:space="preserve">The parameters used in the simulations were obtained from previous the literature (Table S2-S3) - </t>
    </r>
    <r>
      <rPr>
        <b/>
        <sz val="9"/>
        <rFont val="Arial"/>
        <family val="2"/>
        <charset val="1"/>
      </rPr>
      <t>Methods, Spatiotemporal biodistribution</t>
    </r>
    <r>
      <rPr>
        <sz val="9"/>
        <rFont val="Arial"/>
        <family val="2"/>
        <charset val="1"/>
      </rPr>
      <t xml:space="preserve"> </t>
    </r>
    <r>
      <rPr>
        <b/>
        <sz val="9"/>
        <rFont val="Arial"/>
        <family val="2"/>
        <charset val="1"/>
      </rPr>
      <t xml:space="preserve">| </t>
    </r>
    <r>
      <rPr>
        <sz val="9"/>
        <rFont val="Arial"/>
        <family val="2"/>
        <charset val="1"/>
      </rPr>
      <t xml:space="preserve">here we assumed that RPTs targeting GRPR and FAP have the similar pharmacokinetic characteristics as those targeting PSMA - </t>
    </r>
    <r>
      <rPr>
        <b/>
        <sz val="9"/>
        <rFont val="Arial"/>
        <family val="2"/>
        <charset val="1"/>
      </rPr>
      <t>Results, In silico modeling for other targets</t>
    </r>
  </si>
  <si>
    <r>
      <rPr>
        <sz val="9"/>
        <rFont val="Arial"/>
        <family val="2"/>
        <charset val="1"/>
      </rPr>
      <t xml:space="preserve">The simulation was repeated 20 times for each tissue sample ... The coefficient of variation (CV) was measured to provide the robustness of the simulation - </t>
    </r>
    <r>
      <rPr>
        <b/>
        <sz val="9"/>
        <rFont val="Arial"/>
        <family val="2"/>
        <charset val="1"/>
      </rPr>
      <t>Methods, Spatiotemporal biodistribution</t>
    </r>
    <r>
      <rPr>
        <sz val="9"/>
        <rFont val="Arial"/>
        <family val="2"/>
        <charset val="1"/>
      </rPr>
      <t xml:space="preserve"> </t>
    </r>
    <r>
      <rPr>
        <b/>
        <sz val="9"/>
        <rFont val="Arial"/>
        <family val="2"/>
        <charset val="1"/>
      </rPr>
      <t xml:space="preserve">| </t>
    </r>
    <r>
      <rPr>
        <sz val="9"/>
        <rFont val="Arial"/>
        <family val="2"/>
        <charset val="1"/>
      </rPr>
      <t xml:space="preserve">Thresholds (0.005, 0.01, 0.02, and 0.05) in the PC cell map were varied - </t>
    </r>
    <r>
      <rPr>
        <b/>
        <sz val="9"/>
        <rFont val="Arial"/>
        <family val="2"/>
        <charset val="1"/>
      </rPr>
      <t>Methods, Dose analysis using DVH</t>
    </r>
  </si>
  <si>
    <r>
      <rPr>
        <sz val="9"/>
        <rFont val="Arial"/>
        <family val="2"/>
        <charset val="1"/>
      </rPr>
      <t xml:space="preserve">this approach still requires preclinical or clinical validation - </t>
    </r>
    <r>
      <rPr>
        <b/>
        <sz val="9"/>
        <rFont val="Arial"/>
        <family val="2"/>
        <charset val="1"/>
      </rPr>
      <t>Discussion</t>
    </r>
    <r>
      <rPr>
        <sz val="9"/>
        <rFont val="Arial"/>
        <family val="2"/>
        <charset val="1"/>
      </rPr>
      <t xml:space="preserve"> </t>
    </r>
    <r>
      <rPr>
        <b/>
        <sz val="9"/>
        <rFont val="Arial"/>
        <family val="2"/>
        <charset val="1"/>
      </rPr>
      <t xml:space="preserve">| </t>
    </r>
    <r>
      <rPr>
        <sz val="9"/>
        <rFont val="Arial"/>
        <family val="2"/>
        <charset val="1"/>
      </rPr>
      <t xml:space="preserve">No comparison of predicted dose or survival with measured data - </t>
    </r>
    <r>
      <rPr>
        <b/>
        <sz val="9"/>
        <rFont val="Arial"/>
        <family val="2"/>
        <charset val="1"/>
      </rPr>
      <t>checked Results, Discussion, Methods</t>
    </r>
  </si>
  <si>
    <r>
      <rPr>
        <sz val="9"/>
        <rFont val="Arial"/>
        <family val="2"/>
        <charset val="1"/>
      </rPr>
      <t xml:space="preserve">Not reported - Spearman correlations relate model inputs (PSMA density, hypoxia) to model outputs, not model to data - </t>
    </r>
    <r>
      <rPr>
        <b/>
        <sz val="9"/>
        <rFont val="Arial"/>
        <family val="2"/>
        <charset val="1"/>
      </rPr>
      <t>checked Results, Statistical analysis</t>
    </r>
  </si>
  <si>
    <r>
      <rPr>
        <sz val="9"/>
        <rFont val="Arial"/>
        <family val="2"/>
        <charset val="1"/>
      </rPr>
      <t xml:space="preserve">All original code has been deposited at GitHub (https://github.com/jimuinbern/DosimeryST) - </t>
    </r>
    <r>
      <rPr>
        <b/>
        <sz val="9"/>
        <rFont val="Arial"/>
        <family val="2"/>
        <charset val="1"/>
      </rPr>
      <t>Data and code availability</t>
    </r>
    <r>
      <rPr>
        <sz val="9"/>
        <rFont val="Arial"/>
        <family val="2"/>
        <charset val="1"/>
      </rPr>
      <t xml:space="preserve"> </t>
    </r>
    <r>
      <rPr>
        <b/>
        <sz val="9"/>
        <rFont val="Arial"/>
        <family val="2"/>
        <charset val="1"/>
      </rPr>
      <t xml:space="preserve">| </t>
    </r>
    <r>
      <rPr>
        <sz val="9"/>
        <rFont val="Arial"/>
        <family val="2"/>
        <charset val="1"/>
      </rPr>
      <t xml:space="preserve">Repository link returns 404 (checked 24 Sep 2026) - </t>
    </r>
    <r>
      <rPr>
        <b/>
        <sz val="9"/>
        <rFont val="Arial"/>
        <family val="2"/>
        <charset val="1"/>
      </rPr>
      <t>GitHub jimuinbern/DosimeryST</t>
    </r>
  </si>
  <si>
    <r>
      <rPr>
        <sz val="9"/>
        <rFont val="Arial"/>
        <family val="2"/>
        <charset val="1"/>
      </rPr>
      <t xml:space="preserve">Tissue interstitial fluid flow is computed employing Darcy's law ... transvascular fluid flow is determined using Starling's law - </t>
    </r>
    <r>
      <rPr>
        <b/>
        <sz val="9"/>
        <rFont val="Arial"/>
        <family val="2"/>
        <charset val="1"/>
      </rPr>
      <t>2.2 Fluid flow</t>
    </r>
    <r>
      <rPr>
        <sz val="9"/>
        <rFont val="Arial"/>
        <family val="2"/>
        <charset val="1"/>
      </rPr>
      <t xml:space="preserve"> </t>
    </r>
    <r>
      <rPr>
        <b/>
        <sz val="9"/>
        <rFont val="Arial"/>
        <family val="2"/>
        <charset val="1"/>
      </rPr>
      <t xml:space="preserve">| </t>
    </r>
    <r>
      <rPr>
        <sz val="9"/>
        <rFont val="Arial"/>
        <family val="2"/>
        <charset val="1"/>
      </rPr>
      <t xml:space="preserve">Within the interstitial fluid, the transport of radiopharmaceuticals adheres to the Convection-Diffusion-Reaction (CDR) equations (37) - </t>
    </r>
    <r>
      <rPr>
        <b/>
        <sz val="9"/>
        <rFont val="Arial"/>
        <family val="2"/>
        <charset val="1"/>
      </rPr>
      <t>2.3 177Lu-PSMA concentration</t>
    </r>
  </si>
  <si>
    <r>
      <rPr>
        <sz val="9"/>
        <rFont val="Arial"/>
        <family val="2"/>
        <charset val="1"/>
      </rPr>
      <t xml:space="preserve">A comprehensive explanation of equations, parameters, and their corresponding values can be found in the Supplementary File - </t>
    </r>
    <r>
      <rPr>
        <b/>
        <sz val="9"/>
        <rFont val="Arial"/>
        <family val="2"/>
        <charset val="1"/>
      </rPr>
      <t>2 Methods</t>
    </r>
    <r>
      <rPr>
        <sz val="9"/>
        <rFont val="Arial"/>
        <family val="2"/>
        <charset val="1"/>
      </rPr>
      <t xml:space="preserve"> </t>
    </r>
    <r>
      <rPr>
        <b/>
        <sz val="9"/>
        <rFont val="Arial"/>
        <family val="2"/>
        <charset val="1"/>
      </rPr>
      <t xml:space="preserve">| </t>
    </r>
    <r>
      <rPr>
        <sz val="9"/>
        <rFont val="Arial"/>
        <family val="2"/>
        <charset val="1"/>
      </rPr>
      <t xml:space="preserve">kon=0.046 [L/nmol/min] and koff=0.046 [1/min] (17) - </t>
    </r>
    <r>
      <rPr>
        <b/>
        <sz val="9"/>
        <rFont val="Arial"/>
        <family val="2"/>
        <charset val="1"/>
      </rPr>
      <t>3.4 Effect of initial amount of 177Lu-PSMA</t>
    </r>
  </si>
  <si>
    <r>
      <rPr>
        <sz val="9"/>
        <rFont val="Arial"/>
        <family val="2"/>
        <charset val="1"/>
      </rPr>
      <t xml:space="preserve">varying the initial 177Lu-PSMA-617 amount 7.1x10^7, 7.1x10^8, and 7.1x10^9 [Bq] led to distinct responses - </t>
    </r>
    <r>
      <rPr>
        <b/>
        <sz val="9"/>
        <rFont val="Arial"/>
        <family val="2"/>
        <charset val="1"/>
      </rPr>
      <t>3.4 Effect of initial amount</t>
    </r>
    <r>
      <rPr>
        <sz val="9"/>
        <rFont val="Arial"/>
        <family val="2"/>
        <charset val="1"/>
      </rPr>
      <t xml:space="preserve"> </t>
    </r>
    <r>
      <rPr>
        <b/>
        <sz val="9"/>
        <rFont val="Arial"/>
        <family val="2"/>
        <charset val="1"/>
      </rPr>
      <t xml:space="preserve">| </t>
    </r>
    <r>
      <rPr>
        <sz val="9"/>
        <rFont val="Arial"/>
        <family val="2"/>
        <charset val="1"/>
      </rPr>
      <t xml:space="preserve">The impact of KD (1, 0.1 and 0.01 [nM]), derived from various combinations of kon and koff - </t>
    </r>
    <r>
      <rPr>
        <b/>
        <sz val="9"/>
        <rFont val="Arial"/>
        <family val="2"/>
        <charset val="1"/>
      </rPr>
      <t>3.3 Effect of binding affinity</t>
    </r>
  </si>
  <si>
    <r>
      <rPr>
        <sz val="9"/>
        <rFont val="Arial"/>
        <family val="2"/>
        <charset val="1"/>
      </rPr>
      <t xml:space="preserve">As the combination of implant and radioligand therapy is introduced for the first time, there are no available results to validate alterations in concentration - </t>
    </r>
    <r>
      <rPr>
        <b/>
        <sz val="9"/>
        <rFont val="Arial"/>
        <family val="2"/>
        <charset val="1"/>
      </rPr>
      <t>3.1 Validation</t>
    </r>
    <r>
      <rPr>
        <sz val="9"/>
        <rFont val="Arial"/>
        <family val="2"/>
        <charset val="1"/>
      </rPr>
      <t xml:space="preserve"> </t>
    </r>
    <r>
      <rPr>
        <b/>
        <sz val="9"/>
        <rFont val="Arial"/>
        <family val="2"/>
        <charset val="1"/>
      </rPr>
      <t xml:space="preserve">| </t>
    </r>
    <r>
      <rPr>
        <sz val="9"/>
        <rFont val="Arial"/>
        <family val="2"/>
        <charset val="1"/>
      </rPr>
      <t xml:space="preserve">Experimental investigations have provided data on the mean spatial pressure in tumor and normal tissues, with reported values ranging from 586 to 4200 [Pa] - </t>
    </r>
    <r>
      <rPr>
        <b/>
        <sz val="9"/>
        <rFont val="Arial"/>
        <family val="2"/>
        <charset val="1"/>
      </rPr>
      <t>3.1 Validation</t>
    </r>
  </si>
  <si>
    <r>
      <rPr>
        <sz val="9"/>
        <rFont val="Arial"/>
        <family val="2"/>
        <charset val="1"/>
      </rPr>
      <t xml:space="preserve">Not reported - model IFP/IFV values are said to fall within literature ranges; no agreement metric - </t>
    </r>
    <r>
      <rPr>
        <b/>
        <sz val="9"/>
        <rFont val="Arial"/>
        <family val="2"/>
        <charset val="1"/>
      </rPr>
      <t>checked 3.1 Validation</t>
    </r>
  </si>
  <si>
    <r>
      <rPr>
        <sz val="9"/>
        <rFont val="Arial"/>
        <family val="2"/>
        <charset val="1"/>
      </rPr>
      <t xml:space="preserve">The original contributions presented in the study are included in the article/Supplementary Material - </t>
    </r>
    <r>
      <rPr>
        <b/>
        <sz val="9"/>
        <rFont val="Arial"/>
        <family val="2"/>
        <charset val="1"/>
      </rPr>
      <t>Data availability statement</t>
    </r>
    <r>
      <rPr>
        <sz val="9"/>
        <rFont val="Arial"/>
        <family val="2"/>
        <charset val="1"/>
      </rPr>
      <t xml:space="preserve"> </t>
    </r>
    <r>
      <rPr>
        <b/>
        <sz val="9"/>
        <rFont val="Arial"/>
        <family val="2"/>
        <charset val="1"/>
      </rPr>
      <t xml:space="preserve">| </t>
    </r>
    <r>
      <rPr>
        <sz val="9"/>
        <rFont val="Arial"/>
        <family val="2"/>
        <charset val="1"/>
      </rPr>
      <t xml:space="preserve">No code shared - </t>
    </r>
    <r>
      <rPr>
        <b/>
        <sz val="9"/>
        <rFont val="Arial"/>
        <family val="2"/>
        <charset val="1"/>
      </rPr>
      <t>checked Statements, Supplementary Material link</t>
    </r>
  </si>
  <si>
    <r>
      <rPr>
        <sz val="9"/>
        <rFont val="Arial"/>
        <family val="2"/>
        <charset val="1"/>
      </rPr>
      <t xml:space="preserve">The mechanisms governing drug transport, including the binding of drugs to cell surface receptors and their subsequent internalization, were adapted from Birindelli et al. [13] and Keltting et al.[21] - </t>
    </r>
    <r>
      <rPr>
        <b/>
        <sz val="9"/>
        <rFont val="Arial"/>
        <family val="2"/>
        <charset val="1"/>
      </rPr>
      <t>Radiopharmaceutical Transport</t>
    </r>
    <r>
      <rPr>
        <sz val="9"/>
        <rFont val="Arial"/>
        <family val="2"/>
        <charset val="1"/>
      </rPr>
      <t xml:space="preserve"> </t>
    </r>
    <r>
      <rPr>
        <b/>
        <sz val="9"/>
        <rFont val="Arial"/>
        <family val="2"/>
        <charset val="1"/>
      </rPr>
      <t xml:space="preserve">| </t>
    </r>
    <r>
      <rPr>
        <sz val="9"/>
        <rFont val="Arial"/>
        <family val="2"/>
        <charset val="1"/>
      </rPr>
      <t xml:space="preserve">Eqs. (2)-(7) use one decay constant (λlu177) for both agents; no Ac-225 decay chain, daughter redistribution, RBE or S-factor values given - </t>
    </r>
    <r>
      <rPr>
        <b/>
        <sz val="9"/>
        <rFont val="Arial"/>
        <family val="2"/>
        <charset val="1"/>
      </rPr>
      <t>checked Governing Equations, Absorbed Dose</t>
    </r>
  </si>
  <si>
    <r>
      <rPr>
        <sz val="9"/>
        <rFont val="Arial"/>
        <family val="2"/>
        <charset val="1"/>
      </rPr>
      <t xml:space="preserve">Table 2S (in the supplementary file) displays the drug properties in the surrounding and tumor tissues - </t>
    </r>
    <r>
      <rPr>
        <b/>
        <sz val="9"/>
        <rFont val="Arial"/>
        <family val="2"/>
        <charset val="1"/>
      </rPr>
      <t>Numerical Approach</t>
    </r>
    <r>
      <rPr>
        <sz val="9"/>
        <rFont val="Arial"/>
        <family val="2"/>
        <charset val="1"/>
      </rPr>
      <t xml:space="preserve"> </t>
    </r>
    <r>
      <rPr>
        <b/>
        <sz val="9"/>
        <rFont val="Arial"/>
        <family val="2"/>
        <charset val="1"/>
      </rPr>
      <t xml:space="preserve">| </t>
    </r>
    <r>
      <rPr>
        <sz val="9"/>
        <rFont val="Arial"/>
        <family val="2"/>
        <charset val="1"/>
      </rPr>
      <t xml:space="preserve">The alpha value (α) was determined by adjusting the plasma concentration-time profile - </t>
    </r>
    <r>
      <rPr>
        <b/>
        <sz val="9"/>
        <rFont val="Arial"/>
        <family val="2"/>
        <charset val="1"/>
      </rPr>
      <t>Plasma Pharmacokinetics</t>
    </r>
    <r>
      <rPr>
        <sz val="9"/>
        <rFont val="Arial"/>
        <family val="2"/>
        <charset val="1"/>
      </rPr>
      <t xml:space="preserve"> </t>
    </r>
    <r>
      <rPr>
        <b/>
        <sz val="9"/>
        <rFont val="Arial"/>
        <family val="2"/>
        <charset val="1"/>
      </rPr>
      <t xml:space="preserve">| </t>
    </r>
    <r>
      <rPr>
        <sz val="9"/>
        <rFont val="Arial"/>
        <family val="2"/>
        <charset val="1"/>
      </rPr>
      <t>No parameter values in the main text; administered activity of each agent not stated; Supplementary Tables 2S-3S not read</t>
    </r>
  </si>
  <si>
    <r>
      <rPr>
        <sz val="9"/>
        <rFont val="Arial"/>
        <family val="2"/>
        <charset val="1"/>
      </rPr>
      <t xml:space="preserve">Not reported - no parameter sensitivity or uncertainty analysis. Mesh (coarse/medium/fine, GCI) and time-step (10 to 0.01 min) checks are numerical verification, not UQ; the only variation is across 3 tumour geometries - </t>
    </r>
    <r>
      <rPr>
        <b/>
        <sz val="9"/>
        <rFont val="Arial"/>
        <family val="2"/>
        <charset val="1"/>
      </rPr>
      <t>checked Numerical Approach, Results, Discussion</t>
    </r>
  </si>
  <si>
    <r>
      <rPr>
        <sz val="9"/>
        <rFont val="Arial"/>
        <family val="2"/>
        <charset val="1"/>
      </rPr>
      <t xml:space="preserve">the AUC for labeled PSMA (Tumor 2) in the current model was 14% lower than that predicted by the PBPK model - </t>
    </r>
    <r>
      <rPr>
        <b/>
        <sz val="9"/>
        <rFont val="Arial"/>
        <family val="2"/>
        <charset val="1"/>
      </rPr>
      <t>Validation of the Radiopharmaceutical Delivery Model</t>
    </r>
    <r>
      <rPr>
        <sz val="9"/>
        <rFont val="Arial"/>
        <family val="2"/>
        <charset val="1"/>
      </rPr>
      <t xml:space="preserve"> </t>
    </r>
    <r>
      <rPr>
        <b/>
        <sz val="9"/>
        <rFont val="Arial"/>
        <family val="2"/>
        <charset val="1"/>
      </rPr>
      <t xml:space="preserve">| </t>
    </r>
    <r>
      <rPr>
        <sz val="9"/>
        <rFont val="Arial"/>
        <family val="2"/>
        <charset val="1"/>
      </rPr>
      <t xml:space="preserve">tumor IFP in the 586-4200 Pa range [41] - </t>
    </r>
    <r>
      <rPr>
        <b/>
        <sz val="9"/>
        <rFont val="Arial"/>
        <family val="2"/>
        <charset val="1"/>
      </rPr>
      <t>Interstitial Fluid Flow</t>
    </r>
    <r>
      <rPr>
        <sz val="9"/>
        <rFont val="Arial"/>
        <family val="2"/>
        <charset val="1"/>
      </rPr>
      <t xml:space="preserve"> </t>
    </r>
    <r>
      <rPr>
        <b/>
        <sz val="9"/>
        <rFont val="Arial"/>
        <family val="2"/>
        <charset val="1"/>
      </rPr>
      <t xml:space="preserve">| </t>
    </r>
    <r>
      <rPr>
        <sz val="9"/>
        <rFont val="Arial"/>
        <family val="2"/>
        <charset val="1"/>
      </rPr>
      <t>Drug comparator is another model (Kletting PBPK) with matched parameters; 225Ac-PSMA outputs never compared with data</t>
    </r>
  </si>
  <si>
    <r>
      <rPr>
        <sz val="9"/>
        <rFont val="Arial"/>
        <family val="2"/>
        <charset val="1"/>
      </rPr>
      <t xml:space="preserve">Not reported against data - the only quantitative comparison (14% AUC difference, Fig. 4) is with another model's simulation, not measured data - </t>
    </r>
    <r>
      <rPr>
        <b/>
        <sz val="9"/>
        <rFont val="Arial"/>
        <family val="2"/>
        <charset val="1"/>
      </rPr>
      <t>checked Results, Fig. 4</t>
    </r>
  </si>
  <si>
    <r>
      <rPr>
        <sz val="9"/>
        <rFont val="Arial"/>
        <family val="2"/>
        <charset val="1"/>
      </rPr>
      <t xml:space="preserve">Not reported - Declarations contain a conflict-of-interest statement only; no code or data availability statement; model built in COMSOL 5.6a (commercial) - </t>
    </r>
    <r>
      <rPr>
        <b/>
        <sz val="9"/>
        <rFont val="Arial"/>
        <family val="2"/>
        <charset val="1"/>
      </rPr>
      <t>checked Declarations, Supplementary Information note</t>
    </r>
  </si>
  <si>
    <r>
      <rPr>
        <sz val="9"/>
        <rFont val="Arial"/>
        <family val="2"/>
        <charset val="1"/>
      </rPr>
      <t xml:space="preserve">In this study, we developed a mathematical model to explore the interactions between prostate tumor and immune microenvironment - </t>
    </r>
    <r>
      <rPr>
        <b/>
        <sz val="9"/>
        <rFont val="Arial"/>
        <family val="2"/>
        <charset val="1"/>
      </rPr>
      <t>Abstract</t>
    </r>
    <r>
      <rPr>
        <sz val="9"/>
        <rFont val="Arial"/>
        <family val="2"/>
        <charset val="1"/>
      </rPr>
      <t xml:space="preserve"> </t>
    </r>
    <r>
      <rPr>
        <b/>
        <sz val="9"/>
        <rFont val="Arial"/>
        <family val="2"/>
        <charset val="1"/>
      </rPr>
      <t xml:space="preserve">| </t>
    </r>
    <r>
      <rPr>
        <sz val="9"/>
        <rFont val="Arial"/>
        <family val="2"/>
        <charset val="1"/>
      </rPr>
      <t xml:space="preserve">Animal data were used to guide construction, parameter selection, and validation of our model - </t>
    </r>
    <r>
      <rPr>
        <b/>
        <sz val="9"/>
        <rFont val="Arial"/>
        <family val="2"/>
        <charset val="1"/>
      </rPr>
      <t>Abstract</t>
    </r>
  </si>
  <si>
    <r>
      <rPr>
        <sz val="9"/>
        <rFont val="Arial"/>
        <family val="2"/>
        <charset val="1"/>
      </rPr>
      <t xml:space="preserve">To parameterize the model, dynamical cell population data obtained from seven experimental conditions were used - </t>
    </r>
    <r>
      <rPr>
        <b/>
        <sz val="9"/>
        <rFont val="Arial"/>
        <family val="2"/>
        <charset val="1"/>
      </rPr>
      <t>General mathematical model for predicting therapeutic outcomes</t>
    </r>
    <r>
      <rPr>
        <sz val="9"/>
        <rFont val="Arial"/>
        <family val="2"/>
        <charset val="1"/>
      </rPr>
      <t xml:space="preserve"> </t>
    </r>
    <r>
      <rPr>
        <b/>
        <sz val="9"/>
        <rFont val="Arial"/>
        <family val="2"/>
        <charset val="1"/>
      </rPr>
      <t xml:space="preserve">| </t>
    </r>
    <r>
      <rPr>
        <sz val="9"/>
        <rFont val="Arial"/>
        <family val="2"/>
        <charset val="1"/>
      </rPr>
      <t xml:space="preserve">The selected group was obtained through 500 times repeated estimation with random initial seeds in GA - </t>
    </r>
    <r>
      <rPr>
        <b/>
        <sz val="9"/>
        <rFont val="Arial"/>
        <family val="2"/>
        <charset val="1"/>
      </rPr>
      <t>General mathematical model for predicting therapeutic outcomes</t>
    </r>
  </si>
  <si>
    <r>
      <rPr>
        <sz val="9"/>
        <rFont val="Arial"/>
        <family val="2"/>
        <charset val="1"/>
      </rPr>
      <t xml:space="preserve">Parameter identifiability analysis was conducted by calculating coefficients of variation (CVs) of model parameters ... and only one out of 25 estimated model parameters was non-identifiable - </t>
    </r>
    <r>
      <rPr>
        <b/>
        <sz val="9"/>
        <rFont val="Arial"/>
        <family val="2"/>
        <charset val="1"/>
      </rPr>
      <t>General mathematical model for predicting therapeutic outcomes</t>
    </r>
    <r>
      <rPr>
        <sz val="9"/>
        <rFont val="Arial"/>
        <family val="2"/>
        <charset val="1"/>
      </rPr>
      <t xml:space="preserve"> </t>
    </r>
    <r>
      <rPr>
        <b/>
        <sz val="9"/>
        <rFont val="Arial"/>
        <family val="2"/>
        <charset val="1"/>
      </rPr>
      <t xml:space="preserve">| </t>
    </r>
    <r>
      <rPr>
        <sz val="9"/>
        <rFont val="Arial"/>
        <family val="2"/>
        <charset val="1"/>
      </rPr>
      <t xml:space="preserve">we conducted local sensitivity analysis for model parameters by measuring the impact of small perturbation (5% increasing) of individual parameters - </t>
    </r>
    <r>
      <rPr>
        <b/>
        <sz val="9"/>
        <rFont val="Arial"/>
        <family val="2"/>
        <charset val="1"/>
      </rPr>
      <t>Evaluation of the model performance using tumor sizes as treatment outcomes</t>
    </r>
  </si>
  <si>
    <r>
      <rPr>
        <sz val="9"/>
        <rFont val="Arial"/>
        <family val="2"/>
        <charset val="1"/>
      </rPr>
      <t xml:space="preserve">we decided to determine whether or not the data obtained from any of six treatments out of seven were able to accurately predict the outcomes from the remaining one - </t>
    </r>
    <r>
      <rPr>
        <b/>
        <sz val="9"/>
        <rFont val="Arial"/>
        <family val="2"/>
        <charset val="1"/>
      </rPr>
      <t>Evaluation of model performance using cross-validation</t>
    </r>
    <r>
      <rPr>
        <sz val="9"/>
        <rFont val="Arial"/>
        <family val="2"/>
        <charset val="1"/>
      </rPr>
      <t xml:space="preserve"> </t>
    </r>
    <r>
      <rPr>
        <b/>
        <sz val="9"/>
        <rFont val="Arial"/>
        <family val="2"/>
        <charset val="1"/>
      </rPr>
      <t xml:space="preserve">| </t>
    </r>
    <r>
      <rPr>
        <sz val="9"/>
        <rFont val="Arial"/>
        <family val="2"/>
        <charset val="1"/>
      </rPr>
      <t xml:space="preserve">We did seven cross-validations in total - </t>
    </r>
    <r>
      <rPr>
        <b/>
        <sz val="9"/>
        <rFont val="Arial"/>
        <family val="2"/>
        <charset val="1"/>
      </rPr>
      <t>Evaluation of model performance using cross-validation</t>
    </r>
  </si>
  <si>
    <r>
      <rPr>
        <sz val="9"/>
        <rFont val="Arial"/>
        <family val="2"/>
        <charset val="1"/>
      </rPr>
      <t xml:space="preserve">Cross-validation technique is usually used for evaluating performance and accuracy of a model - </t>
    </r>
    <r>
      <rPr>
        <b/>
        <sz val="9"/>
        <rFont val="Arial"/>
        <family val="2"/>
        <charset val="1"/>
      </rPr>
      <t>Evaluation of model performance using cross-validation</t>
    </r>
    <r>
      <rPr>
        <sz val="9"/>
        <rFont val="Arial"/>
        <family val="2"/>
        <charset val="1"/>
      </rPr>
      <t xml:space="preserve"> </t>
    </r>
    <r>
      <rPr>
        <b/>
        <sz val="9"/>
        <rFont val="Arial"/>
        <family val="2"/>
        <charset val="1"/>
      </rPr>
      <t xml:space="preserve">| </t>
    </r>
    <r>
      <rPr>
        <sz val="9"/>
        <rFont val="Arial"/>
        <family val="2"/>
        <charset val="1"/>
      </rPr>
      <t xml:space="preserve">Agreement metric for the held-out treatments not captured in the passages - revisit - </t>
    </r>
    <r>
      <rPr>
        <b/>
        <sz val="9"/>
        <rFont val="Arial"/>
        <family val="2"/>
        <charset val="1"/>
      </rPr>
      <t>checked candidate passages</t>
    </r>
  </si>
  <si>
    <r>
      <rPr>
        <sz val="9"/>
        <rFont val="Arial"/>
        <family val="2"/>
        <charset val="1"/>
      </rPr>
      <t xml:space="preserve">The original GA source code was downloaded free charge from Prof. - </t>
    </r>
    <r>
      <rPr>
        <b/>
        <sz val="9"/>
        <rFont val="Arial"/>
        <family val="2"/>
        <charset val="1"/>
      </rPr>
      <t>Software</t>
    </r>
    <r>
      <rPr>
        <sz val="9"/>
        <rFont val="Arial"/>
        <family val="2"/>
        <charset val="1"/>
      </rPr>
      <t xml:space="preserve"> </t>
    </r>
    <r>
      <rPr>
        <b/>
        <sz val="9"/>
        <rFont val="Arial"/>
        <family val="2"/>
        <charset val="1"/>
      </rPr>
      <t xml:space="preserve">| </t>
    </r>
    <r>
      <rPr>
        <sz val="9"/>
        <rFont val="Arial"/>
        <family val="2"/>
        <charset val="1"/>
      </rPr>
      <t xml:space="preserve">Only the third-party optimiser is cited; the authors' model code is not shared - </t>
    </r>
    <r>
      <rPr>
        <b/>
        <sz val="9"/>
        <rFont val="Arial"/>
        <family val="2"/>
        <charset val="1"/>
      </rPr>
      <t>checked Software, end matter</t>
    </r>
  </si>
  <si>
    <r>
      <rPr>
        <sz val="9"/>
        <rFont val="Arial"/>
        <family val="2"/>
        <charset val="1"/>
      </rPr>
      <t xml:space="preserve">Androgen blockade increases the death rate of N cells [60] and the mutation rate of N to M [61-63]. Dendritic cells (D) are activated by the high mobility group box 1 (HMGB-1) expressed on necrotic cancer cells [9, 10, 64] - </t>
    </r>
    <r>
      <rPr>
        <b/>
        <sz val="9"/>
        <rFont val="Arial"/>
        <family val="2"/>
        <charset val="1"/>
      </rPr>
      <t>1 Introduction</t>
    </r>
    <r>
      <rPr>
        <sz val="9"/>
        <rFont val="Arial"/>
        <family val="2"/>
        <charset val="1"/>
      </rPr>
      <t xml:space="preserve"> </t>
    </r>
    <r>
      <rPr>
        <b/>
        <sz val="9"/>
        <rFont val="Arial"/>
        <family val="2"/>
        <charset val="1"/>
      </rPr>
      <t xml:space="preserve">| </t>
    </r>
    <r>
      <rPr>
        <sz val="9"/>
        <rFont val="Arial"/>
        <family val="2"/>
        <charset val="1"/>
      </rPr>
      <t xml:space="preserve">The mathematical model is based on the network shown in Fig 1, with variables listed in Table 1 - </t>
    </r>
    <r>
      <rPr>
        <b/>
        <sz val="9"/>
        <rFont val="Arial"/>
        <family val="2"/>
        <charset val="1"/>
      </rPr>
      <t>2 Mathematical model</t>
    </r>
  </si>
  <si>
    <r>
      <rPr>
        <sz val="9"/>
        <rFont val="Arial"/>
        <family val="2"/>
        <charset val="1"/>
      </rPr>
      <t xml:space="preserve">The parameter values of the model equations are estimated in S1 File Section 1 and are listed in S1 File Tables 1 and 2 - </t>
    </r>
    <r>
      <rPr>
        <b/>
        <sz val="9"/>
        <rFont val="Arial"/>
        <family val="2"/>
        <charset val="1"/>
      </rPr>
      <t>3 Numerical simulations</t>
    </r>
    <r>
      <rPr>
        <sz val="9"/>
        <rFont val="Arial"/>
        <family val="2"/>
        <charset val="1"/>
      </rPr>
      <t xml:space="preserve"> </t>
    </r>
    <r>
      <rPr>
        <b/>
        <sz val="9"/>
        <rFont val="Arial"/>
        <family val="2"/>
        <charset val="1"/>
      </rPr>
      <t xml:space="preserve">| </t>
    </r>
    <r>
      <rPr>
        <sz val="9"/>
        <rFont val="Arial"/>
        <family val="2"/>
        <charset val="1"/>
      </rPr>
      <t xml:space="preserve">S1 File not read - </t>
    </r>
    <r>
      <rPr>
        <b/>
        <sz val="9"/>
        <rFont val="Arial"/>
        <family val="2"/>
        <charset val="1"/>
      </rPr>
      <t>checked main text</t>
    </r>
  </si>
  <si>
    <r>
      <rPr>
        <sz val="9"/>
        <rFont val="Arial"/>
        <family val="2"/>
        <charset val="1"/>
      </rPr>
      <t xml:space="preserve">Parameter sensitivity analysis was performed in S1 File Section 2 - </t>
    </r>
    <r>
      <rPr>
        <b/>
        <sz val="9"/>
        <rFont val="Arial"/>
        <family val="2"/>
        <charset val="1"/>
      </rPr>
      <t>3 Numerical simulations</t>
    </r>
    <r>
      <rPr>
        <sz val="9"/>
        <rFont val="Arial"/>
        <family val="2"/>
        <charset val="1"/>
      </rPr>
      <t xml:space="preserve"> </t>
    </r>
    <r>
      <rPr>
        <b/>
        <sz val="9"/>
        <rFont val="Arial"/>
        <family val="2"/>
        <charset val="1"/>
      </rPr>
      <t xml:space="preserve">| </t>
    </r>
    <r>
      <rPr>
        <sz val="9"/>
        <rFont val="Arial"/>
        <family val="2"/>
        <charset val="1"/>
      </rPr>
      <t xml:space="preserve">Method (local or global) not stated in main text; S1 File not read - </t>
    </r>
    <r>
      <rPr>
        <b/>
        <sz val="9"/>
        <rFont val="Arial"/>
        <family val="2"/>
        <charset val="1"/>
      </rPr>
      <t>checked main text</t>
    </r>
  </si>
  <si>
    <r>
      <rPr>
        <sz val="9"/>
        <rFont val="Arial"/>
        <family val="2"/>
        <charset val="1"/>
      </rPr>
      <t xml:space="preserve">The levels of T cells and DCs in Fig 3 are in qualitative agreement with Fig 3A in [49], and the levels of PD-1 and CTLA-4 are in qualitative agreement with Fig 4B in [49] - </t>
    </r>
    <r>
      <rPr>
        <b/>
        <sz val="9"/>
        <rFont val="Arial"/>
        <family val="2"/>
        <charset val="1"/>
      </rPr>
      <t>3.1 Model calibration</t>
    </r>
    <r>
      <rPr>
        <sz val="9"/>
        <rFont val="Arial"/>
        <family val="2"/>
        <charset val="1"/>
      </rPr>
      <t xml:space="preserve"> </t>
    </r>
    <r>
      <rPr>
        <b/>
        <sz val="9"/>
        <rFont val="Arial"/>
        <family val="2"/>
        <charset val="1"/>
      </rPr>
      <t xml:space="preserve">| </t>
    </r>
    <r>
      <rPr>
        <sz val="9"/>
        <rFont val="Arial"/>
        <family val="2"/>
        <charset val="1"/>
      </rPr>
      <t xml:space="preserve">The only data (Shen et al. mouse experiments) are used in the calibration step - </t>
    </r>
    <r>
      <rPr>
        <b/>
        <sz val="9"/>
        <rFont val="Arial"/>
        <family val="2"/>
        <charset val="1"/>
      </rPr>
      <t>3.1 Model calibration</t>
    </r>
  </si>
  <si>
    <r>
      <rPr>
        <sz val="9"/>
        <rFont val="Arial"/>
        <family val="2"/>
        <charset val="1"/>
      </rPr>
      <t xml:space="preserve">Not reported - comparisons with [49] are qualitative; no agreement metric - </t>
    </r>
    <r>
      <rPr>
        <b/>
        <sz val="9"/>
        <rFont val="Arial"/>
        <family val="2"/>
        <charset val="1"/>
      </rPr>
      <t>checked 3.1 Model calibration, 4 Conclusion</t>
    </r>
  </si>
  <si>
    <r>
      <rPr>
        <sz val="9"/>
        <rFont val="Arial"/>
        <family val="2"/>
        <charset val="1"/>
      </rPr>
      <t xml:space="preserve">All relevant data are within the manuscript and its Supporting information files - </t>
    </r>
    <r>
      <rPr>
        <b/>
        <sz val="9"/>
        <rFont val="Arial"/>
        <family val="2"/>
        <charset val="1"/>
      </rPr>
      <t>Data Availability</t>
    </r>
    <r>
      <rPr>
        <sz val="9"/>
        <rFont val="Arial"/>
        <family val="2"/>
        <charset val="1"/>
      </rPr>
      <t xml:space="preserve"> </t>
    </r>
    <r>
      <rPr>
        <b/>
        <sz val="9"/>
        <rFont val="Arial"/>
        <family val="2"/>
        <charset val="1"/>
      </rPr>
      <t xml:space="preserve">| </t>
    </r>
    <r>
      <rPr>
        <sz val="9"/>
        <rFont val="Arial"/>
        <family val="2"/>
        <charset val="1"/>
      </rPr>
      <t xml:space="preserve">No code shared - </t>
    </r>
    <r>
      <rPr>
        <b/>
        <sz val="9"/>
        <rFont val="Arial"/>
        <family val="2"/>
        <charset val="1"/>
      </rPr>
      <t>checked Data Availability, Supporting information</t>
    </r>
  </si>
  <si>
    <r>
      <rPr>
        <sz val="9"/>
        <rFont val="Arial"/>
        <family val="2"/>
        <charset val="1"/>
      </rPr>
      <t xml:space="preserve">We assume that the toxicity is a function depending on the drug concentration all over the time of the treatment - </t>
    </r>
    <r>
      <rPr>
        <b/>
        <sz val="9"/>
        <rFont val="Arial"/>
        <family val="2"/>
        <charset val="1"/>
      </rPr>
      <t>2.4 Toxicity Function</t>
    </r>
    <r>
      <rPr>
        <sz val="9"/>
        <rFont val="Arial"/>
        <family val="2"/>
        <charset val="1"/>
      </rPr>
      <t xml:space="preserve"> </t>
    </r>
    <r>
      <rPr>
        <b/>
        <sz val="9"/>
        <rFont val="Arial"/>
        <family val="2"/>
        <charset val="1"/>
      </rPr>
      <t xml:space="preserve">| </t>
    </r>
    <r>
      <rPr>
        <sz val="9"/>
        <rFont val="Arial"/>
        <family val="2"/>
        <charset val="1"/>
      </rPr>
      <t xml:space="preserve">For example, we assumed that the resolution times of AEs of ipilimumab in PCa can be compared with the ones registered in melanoma - </t>
    </r>
    <r>
      <rPr>
        <b/>
        <sz val="9"/>
        <rFont val="Arial"/>
        <family val="2"/>
        <charset val="1"/>
      </rPr>
      <t>4. Discussion</t>
    </r>
  </si>
  <si>
    <r>
      <rPr>
        <sz val="9"/>
        <rFont val="Arial"/>
        <family val="2"/>
        <charset val="1"/>
      </rPr>
      <t xml:space="preserve">The toxicity function defined in Equation (4) needs to be calibrated - </t>
    </r>
    <r>
      <rPr>
        <b/>
        <sz val="9"/>
        <rFont val="Arial"/>
        <family val="2"/>
        <charset val="1"/>
      </rPr>
      <t>3.1 Toxicity Function Estimates</t>
    </r>
    <r>
      <rPr>
        <sz val="9"/>
        <rFont val="Arial"/>
        <family val="2"/>
        <charset val="1"/>
      </rPr>
      <t xml:space="preserve"> </t>
    </r>
    <r>
      <rPr>
        <b/>
        <sz val="9"/>
        <rFont val="Arial"/>
        <family val="2"/>
        <charset val="1"/>
      </rPr>
      <t xml:space="preserve">| </t>
    </r>
    <r>
      <rPr>
        <sz val="9"/>
        <rFont val="Arial"/>
        <family val="2"/>
        <charset val="1"/>
      </rPr>
      <t xml:space="preserve">To this end, we first introduce a dose-depending function of toxicity, estimated from experimental data - </t>
    </r>
    <r>
      <rPr>
        <b/>
        <sz val="9"/>
        <rFont val="Arial"/>
        <family val="2"/>
        <charset val="1"/>
      </rPr>
      <t>Abstract</t>
    </r>
  </si>
  <si>
    <r>
      <rPr>
        <sz val="9"/>
        <rFont val="Arial"/>
        <family val="2"/>
        <charset val="1"/>
      </rPr>
      <t xml:space="preserve">Fixing the optimal administration protocol for the mono-therapy showed in Figure 6, we perform a sensitivity analysis on kAC - </t>
    </r>
    <r>
      <rPr>
        <b/>
        <sz val="9"/>
        <rFont val="Arial"/>
        <family val="2"/>
        <charset val="1"/>
      </rPr>
      <t>3.3 Sensitivity of Results to Parameter Estimates</t>
    </r>
    <r>
      <rPr>
        <sz val="9"/>
        <rFont val="Arial"/>
        <family val="2"/>
        <charset val="1"/>
      </rPr>
      <t xml:space="preserve"> </t>
    </r>
    <r>
      <rPr>
        <b/>
        <sz val="9"/>
        <rFont val="Arial"/>
        <family val="2"/>
        <charset val="1"/>
      </rPr>
      <t xml:space="preserve">| </t>
    </r>
    <r>
      <rPr>
        <sz val="9"/>
        <rFont val="Arial"/>
        <family val="2"/>
        <charset val="1"/>
      </rPr>
      <t xml:space="preserve">Thus these results can be viewed also as a sensitivity analysis on the weights - </t>
    </r>
    <r>
      <rPr>
        <b/>
        <sz val="9"/>
        <rFont val="Arial"/>
        <family val="2"/>
        <charset val="1"/>
      </rPr>
      <t>3.3 Sensitivity of Results to Parameter Estimates</t>
    </r>
  </si>
  <si>
    <r>
      <rPr>
        <sz val="9"/>
        <rFont val="Arial"/>
        <family val="2"/>
        <charset val="1"/>
      </rPr>
      <t xml:space="preserve">our results need to be validated from the clinical point of view and our analysis does not consider side effects and practical constraints - </t>
    </r>
    <r>
      <rPr>
        <b/>
        <sz val="9"/>
        <rFont val="Arial"/>
        <family val="2"/>
        <charset val="1"/>
      </rPr>
      <t>4. Discussion</t>
    </r>
  </si>
  <si>
    <r>
      <rPr>
        <sz val="9"/>
        <rFont val="Arial"/>
        <family val="2"/>
        <charset val="1"/>
      </rPr>
      <t xml:space="preserve">Not reported - no model-data agreement metric - </t>
    </r>
    <r>
      <rPr>
        <b/>
        <sz val="9"/>
        <rFont val="Arial"/>
        <family val="2"/>
        <charset val="1"/>
      </rPr>
      <t>checked candidate passages, Results 3.1-3.3</t>
    </r>
  </si>
  <si>
    <r>
      <rPr>
        <sz val="9"/>
        <rFont val="Arial"/>
        <family val="2"/>
        <charset val="1"/>
      </rPr>
      <t xml:space="preserve">The data are all included in the manuscript - </t>
    </r>
    <r>
      <rPr>
        <b/>
        <sz val="9"/>
        <rFont val="Arial"/>
        <family val="2"/>
        <charset val="1"/>
      </rPr>
      <t>Data Availability Statement</t>
    </r>
    <r>
      <rPr>
        <sz val="9"/>
        <rFont val="Arial"/>
        <family val="2"/>
        <charset val="1"/>
      </rPr>
      <t xml:space="preserve"> </t>
    </r>
    <r>
      <rPr>
        <b/>
        <sz val="9"/>
        <rFont val="Arial"/>
        <family val="2"/>
        <charset val="1"/>
      </rPr>
      <t xml:space="preserve">| </t>
    </r>
    <r>
      <rPr>
        <sz val="9"/>
        <rFont val="Arial"/>
        <family val="2"/>
        <charset val="1"/>
      </rPr>
      <t xml:space="preserve">No code shared - </t>
    </r>
    <r>
      <rPr>
        <b/>
        <sz val="9"/>
        <rFont val="Arial"/>
        <family val="2"/>
        <charset val="1"/>
      </rPr>
      <t>checked Data Availability</t>
    </r>
  </si>
  <si>
    <t>Table S4. PRISMA 2020 checklist</t>
  </si>
  <si>
    <t>Items are paraphrased from the PRISMA 2020 statement (Page et al., BMJ 2021;372:n71).</t>
  </si>
  <si>
    <t>Section / topic</t>
  </si>
  <si>
    <t>Checklist item (summary)</t>
  </si>
  <si>
    <t>Location where reported</t>
  </si>
  <si>
    <t>TITLE: Title</t>
  </si>
  <si>
    <t>1</t>
  </si>
  <si>
    <t>Identify the report as a systematic review.</t>
  </si>
  <si>
    <t>Title, p. 1</t>
  </si>
  <si>
    <t>ABSTRACT: Abstract</t>
  </si>
  <si>
    <t>2</t>
  </si>
  <si>
    <t>Structured abstract (PRISMA 2020 for Abstracts).</t>
  </si>
  <si>
    <t>Abstract, p. 1</t>
  </si>
  <si>
    <t>INTRODUCTION: Rationale</t>
  </si>
  <si>
    <t>3</t>
  </si>
  <si>
    <t>Rationale in the context of existing knowledge.</t>
  </si>
  <si>
    <t>Section 1</t>
  </si>
  <si>
    <t>Objectives</t>
  </si>
  <si>
    <t>4</t>
  </si>
  <si>
    <t>Explicit statement of the objectives or questions.</t>
  </si>
  <si>
    <t>Section 1 (four review questions)</t>
  </si>
  <si>
    <t>METHODS: Eligibility criteria</t>
  </si>
  <si>
    <t>5</t>
  </si>
  <si>
    <t>Inclusion and exclusion criteria and how studies were grouped.</t>
  </si>
  <si>
    <t>Section 2.3</t>
  </si>
  <si>
    <t>Information sources</t>
  </si>
  <si>
    <t>6</t>
  </si>
  <si>
    <t>All databases searched and the date last searched.</t>
  </si>
  <si>
    <t>Sections 2.1–2.2 and 5.1; Table S1</t>
  </si>
  <si>
    <t>Search strategy</t>
  </si>
  <si>
    <t>7</t>
  </si>
  <si>
    <t>Full search strategies for all databases, including filters.</t>
  </si>
  <si>
    <t>Section 2.2; Table S1</t>
  </si>
  <si>
    <t>Selection process</t>
  </si>
  <si>
    <t>8</t>
  </si>
  <si>
    <t>How eligibility was decided, number of reviewers, independence, automation.</t>
  </si>
  <si>
    <t>Section 2.3 (three-stage selection; single reviewer with supervisory resolution)</t>
  </si>
  <si>
    <t>Data collection process</t>
  </si>
  <si>
    <t>9</t>
  </si>
  <si>
    <t>How data were collected, number of reviewers, independence.</t>
  </si>
  <si>
    <t>Section 2.3 (standardised extraction form, single reviewer)</t>
  </si>
  <si>
    <t>Data items</t>
  </si>
  <si>
    <t>10a</t>
  </si>
  <si>
    <t>Outcomes for which data were sought.</t>
  </si>
  <si>
    <t>Section 2.3 (model type, scope, dimensionality, parameter sources, validation, findings, limitations)</t>
  </si>
  <si>
    <t>10b</t>
  </si>
  <si>
    <t>Other variables for which data were sought.</t>
  </si>
  <si>
    <t>Section 2.3; Table S3a</t>
  </si>
  <si>
    <t>Study risk of bias assessment</t>
  </si>
  <si>
    <t>11</t>
  </si>
  <si>
    <t>Methods for assessing bias/quality in the included studies.</t>
  </si>
  <si>
    <t>Section 2.4 (MMQC); Table S2</t>
  </si>
  <si>
    <t>Effect measures</t>
  </si>
  <si>
    <t>12</t>
  </si>
  <si>
    <t>Effect measures used for each outcome.</t>
  </si>
  <si>
    <t>Not applicable: narrative synthesis of modelling studies; no effect measures pooled</t>
  </si>
  <si>
    <t>Synthesis methods</t>
  </si>
  <si>
    <t>13a</t>
  </si>
  <si>
    <t>Process for deciding which studies were eligible for each synthesis.</t>
  </si>
  <si>
    <t>Sections 2.3 and 5.2 (thematic clusters)</t>
  </si>
  <si>
    <t>13b</t>
  </si>
  <si>
    <t>Methods to prepare data for presentation or synthesis.</t>
  </si>
  <si>
    <t>Section 5.2; Table 2</t>
  </si>
  <si>
    <t>13c</t>
  </si>
  <si>
    <t>Methods to tabulate or display results.</t>
  </si>
  <si>
    <t>Tables 2–3; Figures 1–2</t>
  </si>
  <si>
    <t>13d</t>
  </si>
  <si>
    <t>Methods to synthesise results and rationale.</t>
  </si>
  <si>
    <t>Sections 5.2 and 6 (narrative thematic synthesis); meta-analysis not appropriate (Section 8.2)</t>
  </si>
  <si>
    <t>13e</t>
  </si>
  <si>
    <t>Methods to explore heterogeneity.</t>
  </si>
  <si>
    <t>Not applicable: no quantitative synthesis; heterogeneity described by cluster and model class (Section 5.3)</t>
  </si>
  <si>
    <t>13f</t>
  </si>
  <si>
    <t>Sensitivity analyses of the synthesis.</t>
  </si>
  <si>
    <t>Not performed</t>
  </si>
  <si>
    <t>Reporting bias assessment</t>
  </si>
  <si>
    <t>14</t>
  </si>
  <si>
    <t>Methods to assess bias from missing results.</t>
  </si>
  <si>
    <t>Not assessed; addressed as a limitation (Section 8.2)</t>
  </si>
  <si>
    <t>Certainty assessment</t>
  </si>
  <si>
    <t>15</t>
  </si>
  <si>
    <t>Methods to assess certainty in the body of evidence.</t>
  </si>
  <si>
    <t>Not assessed (no pooled outcome); methodological quality reported with MMQC</t>
  </si>
  <si>
    <t>RESULTS: Study selection</t>
  </si>
  <si>
    <t>16a</t>
  </si>
  <si>
    <t>Results of the search and selection, ideally with a flow diagram.</t>
  </si>
  <si>
    <t>Section 5.1; Figure 1</t>
  </si>
  <si>
    <t>16b</t>
  </si>
  <si>
    <t>Studies that seemed eligible but were excluded, with reasons.</t>
  </si>
  <si>
    <t>Section 5.1; Table S3a</t>
  </si>
  <si>
    <t>Study characteristics</t>
  </si>
  <si>
    <t>17</t>
  </si>
  <si>
    <t>Cite each included study and present its characteristics.</t>
  </si>
  <si>
    <t>Section 5.2; Table 2; Table S3a</t>
  </si>
  <si>
    <t>Risk of bias in studies</t>
  </si>
  <si>
    <t>18</t>
  </si>
  <si>
    <t>Assessments of bias/quality for each included study.</t>
  </si>
  <si>
    <t>Section 5.3; Figure 2; Table S3b</t>
  </si>
  <si>
    <t>Results of individual studies</t>
  </si>
  <si>
    <t>19</t>
  </si>
  <si>
    <t>Summary results for each study.</t>
  </si>
  <si>
    <t>Table 2; Section 6</t>
  </si>
  <si>
    <t>Results of syntheses</t>
  </si>
  <si>
    <t>20a</t>
  </si>
  <si>
    <t>Characteristics and risk of bias of contributing studies for each synthesis.</t>
  </si>
  <si>
    <t>Sections 5.2–5.3 and 6.1–6.5</t>
  </si>
  <si>
    <t>20b</t>
  </si>
  <si>
    <t>Results of statistical syntheses.</t>
  </si>
  <si>
    <t>Not applicable (no meta-analysis)</t>
  </si>
  <si>
    <t>20c</t>
  </si>
  <si>
    <t>Results of investigations of heterogeneity.</t>
  </si>
  <si>
    <t>Not applicable; descriptive comparison by cluster and model class (Section 5.3)</t>
  </si>
  <si>
    <t>20d</t>
  </si>
  <si>
    <t>Results of sensitivity analyses.</t>
  </si>
  <si>
    <t>Not applicable</t>
  </si>
  <si>
    <t>Reporting biases</t>
  </si>
  <si>
    <t>21</t>
  </si>
  <si>
    <t>Assessments of risk of bias due to missing results.</t>
  </si>
  <si>
    <t>Not assessed; unretrieved reports stated (Sections 5.1 and 8.2)</t>
  </si>
  <si>
    <t>Certainty of evidence</t>
  </si>
  <si>
    <t>22</t>
  </si>
  <si>
    <t>Assessments of certainty for each outcome.</t>
  </si>
  <si>
    <t>Not assessed</t>
  </si>
  <si>
    <t>DISCUSSION: Discussion</t>
  </si>
  <si>
    <t>23a</t>
  </si>
  <si>
    <t>Interpretation in the context of other evidence.</t>
  </si>
  <si>
    <t>Sections 6.8 and 8.1</t>
  </si>
  <si>
    <t>23b</t>
  </si>
  <si>
    <t>Limitations of the evidence included.</t>
  </si>
  <si>
    <t>Sections 5.3, 6 and 8.1</t>
  </si>
  <si>
    <t>23c</t>
  </si>
  <si>
    <t>Limitations of the review processes.</t>
  </si>
  <si>
    <t>Section 8.2</t>
  </si>
  <si>
    <t>23d</t>
  </si>
  <si>
    <t>Implications for practice, policy and research.</t>
  </si>
  <si>
    <t>Sections 7, 8.3–8.4 and 9</t>
  </si>
  <si>
    <t>OTHER INFORMATION: Registration and protocol</t>
  </si>
  <si>
    <t>24a</t>
  </si>
  <si>
    <t>Registration information, or statement that the review was not registered.</t>
  </si>
  <si>
    <t>Section 8.2 (not prospectively registered)</t>
  </si>
  <si>
    <t>24b</t>
  </si>
  <si>
    <t>Where the protocol can be accessed, or that none was prepared.</t>
  </si>
  <si>
    <t>No protocol was published; methods pre-specified in Section 2</t>
  </si>
  <si>
    <t>24c</t>
  </si>
  <si>
    <t>Amendments to registration or protocol.</t>
  </si>
  <si>
    <t>Deviation reported: restriction of eligible model classes applied at classification (Section 8.2)</t>
  </si>
  <si>
    <t>Support</t>
  </si>
  <si>
    <t>25</t>
  </si>
  <si>
    <t>Sources of financial or non-financial support.</t>
  </si>
  <si>
    <t>Funding statement</t>
  </si>
  <si>
    <t>Competing interests</t>
  </si>
  <si>
    <t>26</t>
  </si>
  <si>
    <t>Declaration of competing interests.</t>
  </si>
  <si>
    <t>Conflicts of Interest statement</t>
  </si>
  <si>
    <t>Availability of data, code and other materials</t>
  </si>
  <si>
    <t>27</t>
  </si>
  <si>
    <t>Availability of data collection forms, extracted data, analytic code and other materials.</t>
  </si>
  <si>
    <t>Data Availability Statement; Tables S1–S3</t>
  </si>
  <si>
    <t>All values are taken from the review team’s screening and appraisal workbook (MMQC_FullText_Scoring_20260926_Final_v4). Reference numbers in Tables S3a–S3b match the reference list of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</si>
</sst>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3"/>
      <color rgb="FF1F4E4B"/>
      <name val="Arial"/>
      <family val="2"/>
      <charset val="1"/>
    </font>
    <font>
      <b/>
      <sz val="9"/>
      <name val="Arial"/>
      <family val="2"/>
      <charset val="1"/>
    </font>
    <font>
      <sz val="9"/>
      <name val="Arial"/>
      <family val="2"/>
      <charset val="1"/>
    </font>
    <font>
      <b/>
      <sz val="12"/>
      <color rgb="FF1F4E4B"/>
      <name val="Arial"/>
      <family val="2"/>
      <charset val="1"/>
    </font>
    <font>
      <i/>
      <sz val="9"/>
      <name val="Arial"/>
      <family val="2"/>
      <charset val="1"/>
    </font>
    <font>
      <b/>
      <sz val="9"/>
      <color rgb="FFFFFFFF"/>
      <name val="Arial"/>
      <family val="2"/>
      <charset val="1"/>
    </font>
    <font>
      <sz val="9"/>
      <color rgb="FF000000"/>
      <name val="Arial"/>
      <family val="2"/>
      <charset val="1"/>
    </font>
    <font>
      <b/>
      <sz val="9"/>
      <color theme="3" tint="0.39967040009765925"/>
      <name val="Arial"/>
      <family val="2"/>
      <charset val="1"/>
    </font>
    <font>
      <b/>
      <sz val="9"/>
      <color rgb="FF000000"/>
      <name val="Arial"/>
      <family val="2"/>
      <charset val="1"/>
    </font>
  </fonts>
  <fills count="4">
    <fill>
      <patternFill patternType="none"/>
    </fill>
    <fill>
      <patternFill patternType="gray125"/>
    </fill>
    <fill>
      <patternFill patternType="solid">
        <fgColor rgb="FF2E7D7A"/>
        <bgColor rgb="FF008080"/>
      </patternFill>
    </fill>
    <fill>
      <patternFill patternType="solid">
        <fgColor rgb="FFF2F7F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3"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0" borderId="0" xfId="0" applyFont="1"/>
    <xf numFmtId="0" fontId="5" fillId="0" borderId="0" xfId="0" applyFont="1" applyAlignment="1">
      <alignment vertical="top" wrapText="1"/>
    </xf>
    <xf numFmtId="0" fontId="6" fillId="2" borderId="1" xfId="0" applyFont="1" applyFill="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2" fillId="0" borderId="0" xfId="0" applyFont="1"/>
    <xf numFmtId="0" fontId="2" fillId="0" borderId="1" xfId="0" applyFont="1" applyBorder="1"/>
    <xf numFmtId="0" fontId="6" fillId="2"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0" borderId="0" xfId="0" applyFont="1"/>
    <xf numFmtId="0" fontId="7" fillId="0" borderId="1" xfId="0" applyFont="1" applyBorder="1" applyAlignment="1">
      <alignment vertical="top" wrapText="1"/>
    </xf>
    <xf numFmtId="0" fontId="0" fillId="0" borderId="0" xfId="0" applyAlignment="1">
      <alignment horizontal="center"/>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7F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8ED5"/>
      <rgbColor rgb="FF969696"/>
      <rgbColor rgb="FF003366"/>
      <rgbColor rgb="FF2E7D7A"/>
      <rgbColor rgb="FF003300"/>
      <rgbColor rgb="FF333300"/>
      <rgbColor rgb="FF993300"/>
      <rgbColor rgb="FF993366"/>
      <rgbColor rgb="FF333399"/>
      <rgbColor rgb="FF1F4E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abSelected="1" zoomScaleNormal="100" workbookViewId="0">
      <selection activeCell="D23" sqref="D23"/>
    </sheetView>
  </sheetViews>
  <sheetFormatPr defaultColWidth="8.6640625" defaultRowHeight="14.4" x14ac:dyDescent="0.3"/>
  <cols>
    <col min="1" max="1" width="24.6640625" customWidth="1"/>
    <col min="2" max="2" width="110" customWidth="1"/>
  </cols>
  <sheetData>
    <row r="1" spans="1:2" ht="16.5" customHeight="1" x14ac:dyDescent="0.3">
      <c r="A1" s="4" t="s">
        <v>0</v>
      </c>
    </row>
    <row r="3" spans="1:2" ht="22.5" customHeight="1" x14ac:dyDescent="0.3">
      <c r="A3" s="5" t="s">
        <v>1</v>
      </c>
      <c r="B3" s="6" t="s">
        <v>2</v>
      </c>
    </row>
    <row r="4" spans="1:2" ht="14.25" customHeight="1" x14ac:dyDescent="0.3">
      <c r="A4" s="5" t="s">
        <v>3</v>
      </c>
      <c r="B4" s="6" t="s">
        <v>4</v>
      </c>
    </row>
    <row r="5" spans="1:2" ht="14.25" customHeight="1" x14ac:dyDescent="0.3">
      <c r="A5" s="5" t="s">
        <v>5</v>
      </c>
      <c r="B5" s="6" t="s">
        <v>6</v>
      </c>
    </row>
    <row r="6" spans="1:2" ht="14.25" customHeight="1" x14ac:dyDescent="0.3">
      <c r="A6" s="5" t="s">
        <v>7</v>
      </c>
      <c r="B6" s="6" t="s">
        <v>8</v>
      </c>
    </row>
    <row r="7" spans="1:2" ht="14.25" customHeight="1" x14ac:dyDescent="0.3">
      <c r="A7" s="5" t="s">
        <v>9</v>
      </c>
      <c r="B7" s="6" t="s">
        <v>10</v>
      </c>
    </row>
    <row r="8" spans="1:2" ht="14.25" customHeight="1" x14ac:dyDescent="0.3">
      <c r="A8" s="5" t="s">
        <v>11</v>
      </c>
      <c r="B8" s="6" t="s">
        <v>12</v>
      </c>
    </row>
    <row r="9" spans="1:2" ht="22.5" customHeight="1" x14ac:dyDescent="0.3">
      <c r="A9" s="5" t="s">
        <v>13</v>
      </c>
      <c r="B9" s="6" t="s">
        <v>872</v>
      </c>
    </row>
    <row r="10" spans="1:2" ht="22.5" customHeight="1" x14ac:dyDescent="0.3">
      <c r="A10" s="5" t="s">
        <v>14</v>
      </c>
      <c r="B10" s="6"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showGridLines="0" zoomScaleNormal="100" workbookViewId="0">
      <pane xSplit="2" ySplit="4" topLeftCell="C5" activePane="bottomRight" state="frozen"/>
      <selection pane="topRight" activeCell="C1" sqref="C1"/>
      <selection pane="bottomLeft" activeCell="A5" sqref="A5"/>
      <selection pane="bottomRight" activeCell="E2" sqref="E2"/>
    </sheetView>
  </sheetViews>
  <sheetFormatPr defaultColWidth="8.6640625" defaultRowHeight="14.4" x14ac:dyDescent="0.3"/>
  <cols>
    <col min="1" max="1" width="26" customWidth="1"/>
    <col min="2" max="2" width="13" customWidth="1"/>
    <col min="3" max="3" width="12" customWidth="1"/>
    <col min="4" max="4" width="95" customWidth="1"/>
    <col min="5" max="5" width="30" customWidth="1"/>
  </cols>
  <sheetData>
    <row r="1" spans="1:5" ht="15" customHeight="1" x14ac:dyDescent="0.3">
      <c r="A1" s="7" t="s">
        <v>16</v>
      </c>
    </row>
    <row r="2" spans="1:5" ht="123" customHeight="1" x14ac:dyDescent="0.3">
      <c r="A2" s="8" t="s">
        <v>17</v>
      </c>
    </row>
    <row r="4" spans="1:5" ht="24" customHeight="1" x14ac:dyDescent="0.3">
      <c r="A4" s="9" t="s">
        <v>18</v>
      </c>
      <c r="B4" s="9" t="s">
        <v>19</v>
      </c>
      <c r="C4" s="9" t="s">
        <v>20</v>
      </c>
      <c r="D4" s="9" t="s">
        <v>21</v>
      </c>
      <c r="E4" s="9" t="s">
        <v>22</v>
      </c>
    </row>
    <row r="5" spans="1:5" ht="120" customHeight="1" x14ac:dyDescent="0.3">
      <c r="A5" s="10" t="s">
        <v>23</v>
      </c>
      <c r="B5" s="11" t="s">
        <v>24</v>
      </c>
      <c r="C5" s="11">
        <v>235</v>
      </c>
      <c r="D5" s="10" t="s">
        <v>25</v>
      </c>
      <c r="E5" s="10" t="s">
        <v>26</v>
      </c>
    </row>
    <row r="6" spans="1:5" ht="78.75" customHeight="1" x14ac:dyDescent="0.3">
      <c r="A6" s="10" t="s">
        <v>27</v>
      </c>
      <c r="B6" s="11" t="s">
        <v>28</v>
      </c>
      <c r="C6" s="11">
        <v>366</v>
      </c>
      <c r="D6" s="10" t="s">
        <v>29</v>
      </c>
      <c r="E6" s="10" t="s">
        <v>30</v>
      </c>
    </row>
    <row r="7" spans="1:5" ht="109.5" customHeight="1" x14ac:dyDescent="0.3">
      <c r="A7" s="10" t="s">
        <v>31</v>
      </c>
      <c r="B7" s="11" t="s">
        <v>32</v>
      </c>
      <c r="C7" s="11">
        <v>413</v>
      </c>
      <c r="D7" s="10" t="s">
        <v>33</v>
      </c>
      <c r="E7" s="10" t="s">
        <v>34</v>
      </c>
    </row>
    <row r="9" spans="1:5" ht="14.25" customHeight="1" x14ac:dyDescent="0.3">
      <c r="A9" s="12" t="s">
        <v>35</v>
      </c>
    </row>
    <row r="10" spans="1:5" ht="25.5" customHeight="1" x14ac:dyDescent="0.3">
      <c r="A10" s="6" t="s">
        <v>36</v>
      </c>
      <c r="B10" s="13">
        <f>SUM(C5:C7)</f>
        <v>1014</v>
      </c>
    </row>
    <row r="11" spans="1:5" ht="25.5" customHeight="1" x14ac:dyDescent="0.3">
      <c r="A11" s="6" t="s">
        <v>37</v>
      </c>
      <c r="B11" s="13">
        <v>163</v>
      </c>
    </row>
    <row r="12" spans="1:5" ht="25.5" customHeight="1" x14ac:dyDescent="0.3">
      <c r="A12" s="6" t="s">
        <v>38</v>
      </c>
      <c r="B12" s="13">
        <v>223</v>
      </c>
    </row>
    <row r="13" spans="1:5" ht="25.5" customHeight="1" x14ac:dyDescent="0.3">
      <c r="A13" s="6" t="s">
        <v>39</v>
      </c>
      <c r="B13" s="13">
        <f>B11+B12</f>
        <v>386</v>
      </c>
    </row>
    <row r="14" spans="1:5" ht="25.5" customHeight="1" x14ac:dyDescent="0.3">
      <c r="A14" s="6" t="s">
        <v>40</v>
      </c>
      <c r="B14" s="13">
        <f>B10-B13</f>
        <v>628</v>
      </c>
    </row>
    <row r="16" spans="1:5" ht="48" customHeight="1" x14ac:dyDescent="0.3">
      <c r="A16" s="3" t="s">
        <v>41</v>
      </c>
      <c r="B16" s="3"/>
      <c r="C16" s="3"/>
      <c r="D16" s="3"/>
      <c r="E16" s="3"/>
    </row>
  </sheetData>
  <mergeCells count="1">
    <mergeCell ref="A16:E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showGridLines="0" zoomScaleNormal="100" workbookViewId="0">
      <pane xSplit="2" ySplit="4" topLeftCell="C5" activePane="bottomRight" state="frozen"/>
      <selection pane="topRight" activeCell="C1" sqref="C1"/>
      <selection pane="bottomLeft" activeCell="A8" sqref="A8"/>
      <selection pane="bottomRight" activeCell="H7" sqref="H7"/>
    </sheetView>
  </sheetViews>
  <sheetFormatPr defaultColWidth="8.6640625" defaultRowHeight="14.4" x14ac:dyDescent="0.3"/>
  <cols>
    <col min="1" max="1" width="22.109375" customWidth="1"/>
    <col min="2" max="2" width="24" customWidth="1"/>
    <col min="3" max="3" width="34" customWidth="1"/>
    <col min="4" max="4" width="38" customWidth="1"/>
    <col min="5" max="5" width="40" customWidth="1"/>
    <col min="6" max="6" width="34" customWidth="1"/>
  </cols>
  <sheetData>
    <row r="1" spans="1:6" ht="15" customHeight="1" x14ac:dyDescent="0.3">
      <c r="A1" s="7" t="s">
        <v>42</v>
      </c>
    </row>
    <row r="2" spans="1:6" ht="88.5" customHeight="1" x14ac:dyDescent="0.3">
      <c r="A2" s="8" t="s">
        <v>43</v>
      </c>
    </row>
    <row r="4" spans="1:6" ht="14.25" customHeight="1" x14ac:dyDescent="0.3">
      <c r="A4" s="14" t="s">
        <v>44</v>
      </c>
      <c r="B4" s="14" t="s">
        <v>45</v>
      </c>
      <c r="C4" s="14" t="s">
        <v>46</v>
      </c>
      <c r="D4" s="14" t="s">
        <v>47</v>
      </c>
      <c r="E4" s="14" t="s">
        <v>48</v>
      </c>
      <c r="F4" s="14" t="s">
        <v>49</v>
      </c>
    </row>
    <row r="5" spans="1:6" ht="66" customHeight="1" x14ac:dyDescent="0.3">
      <c r="A5" s="15" t="s">
        <v>50</v>
      </c>
      <c r="B5" s="16" t="s">
        <v>51</v>
      </c>
      <c r="C5" s="10" t="s">
        <v>52</v>
      </c>
      <c r="D5" s="10" t="s">
        <v>53</v>
      </c>
      <c r="E5" s="10" t="s">
        <v>54</v>
      </c>
      <c r="F5" s="10" t="s">
        <v>55</v>
      </c>
    </row>
    <row r="6" spans="1:6" ht="66" customHeight="1" x14ac:dyDescent="0.3">
      <c r="A6" s="15" t="s">
        <v>56</v>
      </c>
      <c r="B6" s="16" t="s">
        <v>57</v>
      </c>
      <c r="C6" s="10" t="s">
        <v>58</v>
      </c>
      <c r="D6" s="10" t="s">
        <v>59</v>
      </c>
      <c r="E6" s="10" t="s">
        <v>60</v>
      </c>
      <c r="F6" s="10" t="s">
        <v>61</v>
      </c>
    </row>
    <row r="7" spans="1:6" ht="66" customHeight="1" x14ac:dyDescent="0.3">
      <c r="A7" s="15" t="s">
        <v>62</v>
      </c>
      <c r="B7" s="16" t="s">
        <v>63</v>
      </c>
      <c r="C7" s="10" t="s">
        <v>64</v>
      </c>
      <c r="D7" s="10" t="s">
        <v>65</v>
      </c>
      <c r="E7" s="10" t="s">
        <v>66</v>
      </c>
      <c r="F7" s="10" t="s">
        <v>67</v>
      </c>
    </row>
    <row r="8" spans="1:6" ht="66" customHeight="1" x14ac:dyDescent="0.3">
      <c r="A8" s="15" t="s">
        <v>68</v>
      </c>
      <c r="B8" s="16" t="s">
        <v>69</v>
      </c>
      <c r="C8" s="10" t="s">
        <v>70</v>
      </c>
      <c r="D8" s="10" t="s">
        <v>71</v>
      </c>
      <c r="E8" s="10" t="s">
        <v>72</v>
      </c>
      <c r="F8" s="10" t="s">
        <v>73</v>
      </c>
    </row>
    <row r="9" spans="1:6" ht="66" customHeight="1" x14ac:dyDescent="0.3">
      <c r="A9" s="15" t="s">
        <v>74</v>
      </c>
      <c r="B9" s="16" t="s">
        <v>75</v>
      </c>
      <c r="C9" s="10" t="s">
        <v>76</v>
      </c>
      <c r="D9" s="10" t="s">
        <v>77</v>
      </c>
      <c r="E9" s="10" t="s">
        <v>78</v>
      </c>
      <c r="F9" s="10" t="s">
        <v>79</v>
      </c>
    </row>
    <row r="10" spans="1:6" ht="66" customHeight="1" x14ac:dyDescent="0.3">
      <c r="A10" s="15" t="s">
        <v>80</v>
      </c>
      <c r="B10" s="16" t="s">
        <v>81</v>
      </c>
      <c r="C10" s="10" t="s">
        <v>82</v>
      </c>
      <c r="D10" s="10" t="s">
        <v>83</v>
      </c>
      <c r="E10" s="10" t="s">
        <v>84</v>
      </c>
      <c r="F10" s="10" t="s">
        <v>85</v>
      </c>
    </row>
    <row r="12" spans="1:6" ht="13.5" customHeight="1" x14ac:dyDescent="0.3">
      <c r="A12" s="2" t="s">
        <v>86</v>
      </c>
      <c r="B12" s="2"/>
      <c r="C12" s="2"/>
      <c r="D12" s="2"/>
      <c r="E12" s="2"/>
      <c r="F12" s="2"/>
    </row>
    <row r="13" spans="1:6" ht="27.75" customHeight="1" x14ac:dyDescent="0.3">
      <c r="A13" s="1" t="s">
        <v>87</v>
      </c>
      <c r="B13" s="1"/>
      <c r="C13" s="1"/>
      <c r="D13" s="1"/>
      <c r="E13" s="1"/>
      <c r="F13" s="1"/>
    </row>
    <row r="14" spans="1:6" ht="27.75" customHeight="1" x14ac:dyDescent="0.3">
      <c r="A14" s="1" t="s">
        <v>88</v>
      </c>
      <c r="B14" s="1"/>
      <c r="C14" s="1"/>
      <c r="D14" s="1"/>
      <c r="E14" s="1"/>
      <c r="F14" s="1"/>
    </row>
    <row r="15" spans="1:6" ht="27.75" customHeight="1" x14ac:dyDescent="0.3">
      <c r="A15" s="1" t="s">
        <v>89</v>
      </c>
      <c r="B15" s="1"/>
      <c r="C15" s="1"/>
      <c r="D15" s="1"/>
      <c r="E15" s="1"/>
      <c r="F15" s="1"/>
    </row>
    <row r="16" spans="1:6" ht="27.75" customHeight="1" x14ac:dyDescent="0.3">
      <c r="A16" s="1" t="s">
        <v>90</v>
      </c>
      <c r="B16" s="1"/>
      <c r="C16" s="1"/>
      <c r="D16" s="1"/>
      <c r="E16" s="1"/>
      <c r="F16" s="1"/>
    </row>
  </sheetData>
  <mergeCells count="5">
    <mergeCell ref="A12:F12"/>
    <mergeCell ref="A13:F13"/>
    <mergeCell ref="A14:F14"/>
    <mergeCell ref="A15:F15"/>
    <mergeCell ref="A16:F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showGridLines="0" zoomScaleNormal="100" workbookViewId="0">
      <pane xSplit="2" ySplit="4" topLeftCell="D5" activePane="bottomRight" state="frozen"/>
      <selection pane="topRight" activeCell="D1" sqref="D1"/>
      <selection pane="bottomLeft" activeCell="A5" sqref="A5"/>
      <selection pane="bottomRight" activeCell="E2" sqref="E2"/>
    </sheetView>
  </sheetViews>
  <sheetFormatPr defaultColWidth="8.6640625" defaultRowHeight="14.4" x14ac:dyDescent="0.3"/>
  <cols>
    <col min="1" max="1" width="23.21875" customWidth="1"/>
    <col min="2" max="2" width="16" customWidth="1"/>
    <col min="3" max="3" width="6" customWidth="1"/>
    <col min="4" max="4" width="56.5546875" customWidth="1"/>
    <col min="5" max="5" width="22" customWidth="1"/>
    <col min="6" max="6" width="26" customWidth="1"/>
    <col min="7" max="7" width="11" customWidth="1"/>
    <col min="8" max="8" width="34" customWidth="1"/>
    <col min="9" max="9" width="14" customWidth="1"/>
    <col min="10" max="10" width="26" customWidth="1"/>
    <col min="11" max="11" width="6" customWidth="1"/>
  </cols>
  <sheetData>
    <row r="1" spans="1:11" ht="15" customHeight="1" x14ac:dyDescent="0.3">
      <c r="A1" s="7" t="s">
        <v>91</v>
      </c>
    </row>
    <row r="2" spans="1:11" ht="80.25" customHeight="1" x14ac:dyDescent="0.3">
      <c r="A2" s="8" t="s">
        <v>92</v>
      </c>
    </row>
    <row r="4" spans="1:11" ht="24" customHeight="1" x14ac:dyDescent="0.3">
      <c r="A4" s="9" t="s">
        <v>93</v>
      </c>
      <c r="B4" s="9" t="s">
        <v>94</v>
      </c>
      <c r="C4" s="9" t="s">
        <v>95</v>
      </c>
      <c r="D4" s="9" t="s">
        <v>96</v>
      </c>
      <c r="E4" s="9" t="s">
        <v>97</v>
      </c>
      <c r="F4" s="9" t="s">
        <v>98</v>
      </c>
      <c r="G4" s="9" t="s">
        <v>99</v>
      </c>
      <c r="H4" s="9" t="s">
        <v>100</v>
      </c>
      <c r="I4" s="9" t="s">
        <v>101</v>
      </c>
      <c r="J4" s="9" t="s">
        <v>102</v>
      </c>
      <c r="K4" s="9" t="s">
        <v>103</v>
      </c>
    </row>
    <row r="5" spans="1:11" ht="22.5" customHeight="1" x14ac:dyDescent="0.3">
      <c r="A5" s="11" t="s">
        <v>104</v>
      </c>
      <c r="B5" s="10" t="s">
        <v>105</v>
      </c>
      <c r="C5" s="11">
        <v>2020</v>
      </c>
      <c r="D5" s="17" t="s">
        <v>106</v>
      </c>
      <c r="E5" s="10" t="s">
        <v>107</v>
      </c>
      <c r="F5" s="10" t="s">
        <v>108</v>
      </c>
      <c r="G5" s="15" t="s">
        <v>109</v>
      </c>
      <c r="H5" s="10"/>
      <c r="I5" s="10" t="s">
        <v>110</v>
      </c>
      <c r="J5" s="10" t="s">
        <v>111</v>
      </c>
      <c r="K5" s="11">
        <v>87</v>
      </c>
    </row>
    <row r="6" spans="1:11" ht="22.5" customHeight="1" x14ac:dyDescent="0.3">
      <c r="A6" s="18" t="s">
        <v>112</v>
      </c>
      <c r="B6" s="19" t="s">
        <v>113</v>
      </c>
      <c r="C6" s="18">
        <v>2019</v>
      </c>
      <c r="D6" s="20" t="s">
        <v>114</v>
      </c>
      <c r="E6" s="19" t="s">
        <v>115</v>
      </c>
      <c r="F6" s="19" t="s">
        <v>116</v>
      </c>
      <c r="G6" s="21" t="s">
        <v>109</v>
      </c>
      <c r="H6" s="19"/>
      <c r="I6" s="19" t="s">
        <v>117</v>
      </c>
      <c r="J6" s="19" t="s">
        <v>118</v>
      </c>
      <c r="K6" s="18">
        <v>102</v>
      </c>
    </row>
    <row r="7" spans="1:11" ht="22.5" customHeight="1" x14ac:dyDescent="0.3">
      <c r="A7" s="11" t="s">
        <v>119</v>
      </c>
      <c r="B7" s="10" t="s">
        <v>120</v>
      </c>
      <c r="C7" s="11">
        <v>2023</v>
      </c>
      <c r="D7" s="17" t="s">
        <v>121</v>
      </c>
      <c r="E7" s="10" t="s">
        <v>122</v>
      </c>
      <c r="F7" s="10" t="s">
        <v>123</v>
      </c>
      <c r="G7" s="15" t="s">
        <v>109</v>
      </c>
      <c r="H7" s="10"/>
      <c r="I7" s="10" t="s">
        <v>110</v>
      </c>
      <c r="J7" s="10" t="s">
        <v>124</v>
      </c>
      <c r="K7" s="11">
        <v>44</v>
      </c>
    </row>
    <row r="8" spans="1:11" ht="22.5" customHeight="1" x14ac:dyDescent="0.3">
      <c r="A8" s="18" t="s">
        <v>125</v>
      </c>
      <c r="B8" s="19" t="s">
        <v>126</v>
      </c>
      <c r="C8" s="18">
        <v>2022</v>
      </c>
      <c r="D8" s="20" t="s">
        <v>127</v>
      </c>
      <c r="E8" s="19" t="s">
        <v>128</v>
      </c>
      <c r="F8" s="19" t="s">
        <v>129</v>
      </c>
      <c r="G8" s="18" t="s">
        <v>130</v>
      </c>
      <c r="H8" s="19" t="s">
        <v>131</v>
      </c>
      <c r="I8" s="19" t="s">
        <v>110</v>
      </c>
      <c r="J8" s="19"/>
      <c r="K8" s="18"/>
    </row>
    <row r="9" spans="1:11" ht="22.5" customHeight="1" x14ac:dyDescent="0.3">
      <c r="A9" s="11" t="s">
        <v>132</v>
      </c>
      <c r="B9" s="10" t="s">
        <v>133</v>
      </c>
      <c r="C9" s="11">
        <v>2023</v>
      </c>
      <c r="D9" s="17" t="s">
        <v>134</v>
      </c>
      <c r="E9" s="10" t="s">
        <v>135</v>
      </c>
      <c r="F9" s="10" t="s">
        <v>136</v>
      </c>
      <c r="G9" s="15" t="s">
        <v>109</v>
      </c>
      <c r="H9" s="10"/>
      <c r="I9" s="10" t="s">
        <v>110</v>
      </c>
      <c r="J9" s="10" t="s">
        <v>118</v>
      </c>
      <c r="K9" s="11">
        <v>97</v>
      </c>
    </row>
    <row r="10" spans="1:11" ht="22.5" customHeight="1" x14ac:dyDescent="0.3">
      <c r="A10" s="18" t="s">
        <v>137</v>
      </c>
      <c r="B10" s="19" t="s">
        <v>138</v>
      </c>
      <c r="C10" s="18">
        <v>2019</v>
      </c>
      <c r="D10" s="20" t="s">
        <v>139</v>
      </c>
      <c r="E10" s="19" t="s">
        <v>140</v>
      </c>
      <c r="F10" s="19" t="s">
        <v>141</v>
      </c>
      <c r="G10" s="18" t="s">
        <v>130</v>
      </c>
      <c r="H10" s="19" t="s">
        <v>142</v>
      </c>
      <c r="I10" s="19" t="s">
        <v>143</v>
      </c>
      <c r="J10" s="19"/>
      <c r="K10" s="18"/>
    </row>
    <row r="11" spans="1:11" ht="22.5" customHeight="1" x14ac:dyDescent="0.3">
      <c r="A11" s="11" t="s">
        <v>144</v>
      </c>
      <c r="B11" s="10" t="s">
        <v>145</v>
      </c>
      <c r="C11" s="11">
        <v>2024</v>
      </c>
      <c r="D11" s="17" t="s">
        <v>146</v>
      </c>
      <c r="E11" s="10" t="s">
        <v>147</v>
      </c>
      <c r="F11" s="10" t="s">
        <v>148</v>
      </c>
      <c r="G11" s="15" t="s">
        <v>109</v>
      </c>
      <c r="H11" s="10"/>
      <c r="I11" s="10" t="s">
        <v>110</v>
      </c>
      <c r="J11" s="10" t="s">
        <v>118</v>
      </c>
      <c r="K11" s="11">
        <v>14</v>
      </c>
    </row>
    <row r="12" spans="1:11" ht="22.5" customHeight="1" x14ac:dyDescent="0.3">
      <c r="A12" s="18" t="s">
        <v>149</v>
      </c>
      <c r="B12" s="19" t="s">
        <v>150</v>
      </c>
      <c r="C12" s="18">
        <v>2023</v>
      </c>
      <c r="D12" s="20" t="s">
        <v>151</v>
      </c>
      <c r="E12" s="19" t="s">
        <v>152</v>
      </c>
      <c r="F12" s="19" t="s">
        <v>153</v>
      </c>
      <c r="G12" s="21" t="s">
        <v>109</v>
      </c>
      <c r="H12" s="19"/>
      <c r="I12" s="19" t="s">
        <v>117</v>
      </c>
      <c r="J12" s="19" t="s">
        <v>124</v>
      </c>
      <c r="K12" s="18">
        <v>79</v>
      </c>
    </row>
    <row r="13" spans="1:11" ht="22.5" customHeight="1" x14ac:dyDescent="0.3">
      <c r="A13" s="11" t="s">
        <v>154</v>
      </c>
      <c r="B13" s="10" t="s">
        <v>155</v>
      </c>
      <c r="C13" s="11">
        <v>2026</v>
      </c>
      <c r="D13" s="17" t="s">
        <v>156</v>
      </c>
      <c r="E13" s="10" t="s">
        <v>157</v>
      </c>
      <c r="F13" s="10" t="s">
        <v>158</v>
      </c>
      <c r="G13" s="15" t="s">
        <v>109</v>
      </c>
      <c r="H13" s="10"/>
      <c r="I13" s="10" t="s">
        <v>110</v>
      </c>
      <c r="J13" s="10" t="s">
        <v>118</v>
      </c>
      <c r="K13" s="11">
        <v>98</v>
      </c>
    </row>
    <row r="14" spans="1:11" ht="22.5" customHeight="1" x14ac:dyDescent="0.3">
      <c r="A14" s="18" t="s">
        <v>159</v>
      </c>
      <c r="B14" s="19" t="s">
        <v>160</v>
      </c>
      <c r="C14" s="18">
        <v>2026</v>
      </c>
      <c r="D14" s="20" t="s">
        <v>161</v>
      </c>
      <c r="E14" s="19" t="s">
        <v>162</v>
      </c>
      <c r="F14" s="19" t="s">
        <v>163</v>
      </c>
      <c r="G14" s="21" t="s">
        <v>109</v>
      </c>
      <c r="H14" s="19"/>
      <c r="I14" s="19" t="s">
        <v>164</v>
      </c>
      <c r="J14" s="19" t="s">
        <v>118</v>
      </c>
      <c r="K14" s="18">
        <v>99</v>
      </c>
    </row>
    <row r="15" spans="1:11" ht="33.75" customHeight="1" x14ac:dyDescent="0.3">
      <c r="A15" s="11" t="s">
        <v>165</v>
      </c>
      <c r="B15" s="10" t="s">
        <v>166</v>
      </c>
      <c r="C15" s="11">
        <v>2024</v>
      </c>
      <c r="D15" s="17" t="s">
        <v>167</v>
      </c>
      <c r="E15" s="10" t="s">
        <v>168</v>
      </c>
      <c r="F15" s="10" t="s">
        <v>169</v>
      </c>
      <c r="G15" s="15" t="s">
        <v>109</v>
      </c>
      <c r="H15" s="10"/>
      <c r="I15" s="10" t="s">
        <v>170</v>
      </c>
      <c r="J15" s="10" t="s">
        <v>171</v>
      </c>
      <c r="K15" s="11">
        <v>106</v>
      </c>
    </row>
    <row r="16" spans="1:11" ht="22.5" customHeight="1" x14ac:dyDescent="0.3">
      <c r="A16" s="18" t="s">
        <v>172</v>
      </c>
      <c r="B16" s="19" t="s">
        <v>173</v>
      </c>
      <c r="C16" s="18">
        <v>2015</v>
      </c>
      <c r="D16" s="20" t="s">
        <v>174</v>
      </c>
      <c r="E16" s="19" t="s">
        <v>175</v>
      </c>
      <c r="F16" s="19" t="s">
        <v>176</v>
      </c>
      <c r="G16" s="21" t="s">
        <v>109</v>
      </c>
      <c r="H16" s="19"/>
      <c r="I16" s="19" t="s">
        <v>164</v>
      </c>
      <c r="J16" s="19" t="s">
        <v>118</v>
      </c>
      <c r="K16" s="18">
        <v>100</v>
      </c>
    </row>
    <row r="17" spans="1:11" ht="22.5" customHeight="1" x14ac:dyDescent="0.3">
      <c r="A17" s="11" t="s">
        <v>177</v>
      </c>
      <c r="B17" s="10" t="s">
        <v>178</v>
      </c>
      <c r="C17" s="11">
        <v>2024</v>
      </c>
      <c r="D17" s="17" t="s">
        <v>179</v>
      </c>
      <c r="E17" s="10" t="s">
        <v>180</v>
      </c>
      <c r="F17" s="10" t="s">
        <v>181</v>
      </c>
      <c r="G17" s="15" t="s">
        <v>109</v>
      </c>
      <c r="H17" s="10"/>
      <c r="I17" s="10" t="s">
        <v>170</v>
      </c>
      <c r="J17" s="10" t="s">
        <v>171</v>
      </c>
      <c r="K17" s="11">
        <v>107</v>
      </c>
    </row>
    <row r="18" spans="1:11" ht="22.5" customHeight="1" x14ac:dyDescent="0.3">
      <c r="A18" s="18" t="s">
        <v>182</v>
      </c>
      <c r="B18" s="19" t="s">
        <v>183</v>
      </c>
      <c r="C18" s="18">
        <v>2025</v>
      </c>
      <c r="D18" s="20" t="s">
        <v>184</v>
      </c>
      <c r="E18" s="19" t="s">
        <v>185</v>
      </c>
      <c r="F18" s="19" t="s">
        <v>186</v>
      </c>
      <c r="G18" s="18" t="s">
        <v>130</v>
      </c>
      <c r="H18" s="19" t="s">
        <v>142</v>
      </c>
      <c r="I18" s="19" t="s">
        <v>143</v>
      </c>
      <c r="J18" s="19"/>
      <c r="K18" s="18"/>
    </row>
    <row r="19" spans="1:11" ht="22.5" customHeight="1" x14ac:dyDescent="0.3">
      <c r="A19" s="11" t="s">
        <v>187</v>
      </c>
      <c r="B19" s="10" t="s">
        <v>188</v>
      </c>
      <c r="C19" s="11">
        <v>2024</v>
      </c>
      <c r="D19" s="17" t="s">
        <v>189</v>
      </c>
      <c r="E19" s="10" t="s">
        <v>190</v>
      </c>
      <c r="F19" s="10" t="s">
        <v>191</v>
      </c>
      <c r="G19" s="11" t="s">
        <v>130</v>
      </c>
      <c r="H19" s="10" t="s">
        <v>192</v>
      </c>
      <c r="I19" s="10" t="s">
        <v>193</v>
      </c>
      <c r="J19" s="10"/>
      <c r="K19" s="11"/>
    </row>
    <row r="20" spans="1:11" ht="22.5" customHeight="1" x14ac:dyDescent="0.3">
      <c r="A20" s="18" t="s">
        <v>194</v>
      </c>
      <c r="B20" s="19" t="s">
        <v>195</v>
      </c>
      <c r="C20" s="18">
        <v>2021</v>
      </c>
      <c r="D20" s="20" t="s">
        <v>196</v>
      </c>
      <c r="E20" s="19" t="s">
        <v>197</v>
      </c>
      <c r="F20" s="19" t="s">
        <v>198</v>
      </c>
      <c r="G20" s="21" t="s">
        <v>109</v>
      </c>
      <c r="H20" s="19"/>
      <c r="I20" s="19" t="s">
        <v>164</v>
      </c>
      <c r="J20" s="19" t="s">
        <v>124</v>
      </c>
      <c r="K20" s="18">
        <v>78</v>
      </c>
    </row>
    <row r="21" spans="1:11" ht="22.5" customHeight="1" x14ac:dyDescent="0.3">
      <c r="A21" s="11" t="s">
        <v>199</v>
      </c>
      <c r="B21" s="10" t="s">
        <v>200</v>
      </c>
      <c r="C21" s="11">
        <v>2022</v>
      </c>
      <c r="D21" s="17" t="s">
        <v>201</v>
      </c>
      <c r="E21" s="10" t="s">
        <v>202</v>
      </c>
      <c r="F21" s="10" t="s">
        <v>203</v>
      </c>
      <c r="G21" s="11" t="s">
        <v>130</v>
      </c>
      <c r="H21" s="10" t="s">
        <v>192</v>
      </c>
      <c r="I21" s="10" t="s">
        <v>143</v>
      </c>
      <c r="J21" s="10"/>
      <c r="K21" s="11"/>
    </row>
    <row r="22" spans="1:11" ht="33.75" customHeight="1" x14ac:dyDescent="0.3">
      <c r="A22" s="18" t="s">
        <v>204</v>
      </c>
      <c r="B22" s="19" t="s">
        <v>205</v>
      </c>
      <c r="C22" s="18">
        <v>2021</v>
      </c>
      <c r="D22" s="20" t="s">
        <v>206</v>
      </c>
      <c r="E22" s="19" t="s">
        <v>207</v>
      </c>
      <c r="F22" s="19" t="s">
        <v>208</v>
      </c>
      <c r="G22" s="18" t="s">
        <v>209</v>
      </c>
      <c r="H22" s="19" t="s">
        <v>210</v>
      </c>
      <c r="I22" s="19"/>
      <c r="J22" s="19"/>
      <c r="K22" s="18"/>
    </row>
    <row r="23" spans="1:11" ht="22.5" customHeight="1" x14ac:dyDescent="0.3">
      <c r="A23" s="11" t="s">
        <v>211</v>
      </c>
      <c r="B23" s="10" t="s">
        <v>212</v>
      </c>
      <c r="C23" s="11">
        <v>2020</v>
      </c>
      <c r="D23" s="17" t="s">
        <v>213</v>
      </c>
      <c r="E23" s="10" t="s">
        <v>197</v>
      </c>
      <c r="F23" s="10" t="s">
        <v>214</v>
      </c>
      <c r="G23" s="11" t="s">
        <v>130</v>
      </c>
      <c r="H23" s="10" t="s">
        <v>142</v>
      </c>
      <c r="I23" s="10" t="s">
        <v>143</v>
      </c>
      <c r="J23" s="10"/>
      <c r="K23" s="11"/>
    </row>
    <row r="24" spans="1:11" ht="22.5" customHeight="1" x14ac:dyDescent="0.3">
      <c r="A24" s="18" t="s">
        <v>215</v>
      </c>
      <c r="B24" s="19" t="s">
        <v>216</v>
      </c>
      <c r="C24" s="18">
        <v>2013</v>
      </c>
      <c r="D24" s="20" t="s">
        <v>217</v>
      </c>
      <c r="E24" s="19" t="s">
        <v>218</v>
      </c>
      <c r="F24" s="19" t="s">
        <v>219</v>
      </c>
      <c r="G24" s="21" t="s">
        <v>109</v>
      </c>
      <c r="H24" s="19"/>
      <c r="I24" s="19" t="s">
        <v>170</v>
      </c>
      <c r="J24" s="19" t="s">
        <v>111</v>
      </c>
      <c r="K24" s="18">
        <v>95</v>
      </c>
    </row>
    <row r="25" spans="1:11" ht="22.5" customHeight="1" x14ac:dyDescent="0.3">
      <c r="A25" s="11" t="s">
        <v>220</v>
      </c>
      <c r="B25" s="10" t="s">
        <v>221</v>
      </c>
      <c r="C25" s="11">
        <v>2024</v>
      </c>
      <c r="D25" s="17" t="s">
        <v>222</v>
      </c>
      <c r="E25" s="10" t="s">
        <v>223</v>
      </c>
      <c r="F25" s="10" t="s">
        <v>224</v>
      </c>
      <c r="G25" s="11" t="s">
        <v>130</v>
      </c>
      <c r="H25" s="10" t="s">
        <v>142</v>
      </c>
      <c r="I25" s="10" t="s">
        <v>143</v>
      </c>
      <c r="J25" s="10"/>
      <c r="K25" s="11"/>
    </row>
    <row r="26" spans="1:11" ht="22.5" customHeight="1" x14ac:dyDescent="0.3">
      <c r="A26" s="18" t="s">
        <v>225</v>
      </c>
      <c r="B26" s="19" t="s">
        <v>226</v>
      </c>
      <c r="C26" s="18">
        <v>2023</v>
      </c>
      <c r="D26" s="20" t="s">
        <v>227</v>
      </c>
      <c r="E26" s="19" t="s">
        <v>228</v>
      </c>
      <c r="F26" s="19" t="s">
        <v>229</v>
      </c>
      <c r="G26" s="18" t="s">
        <v>130</v>
      </c>
      <c r="H26" s="19" t="s">
        <v>142</v>
      </c>
      <c r="I26" s="19" t="s">
        <v>143</v>
      </c>
      <c r="J26" s="19"/>
      <c r="K26" s="18"/>
    </row>
    <row r="27" spans="1:11" ht="22.5" customHeight="1" x14ac:dyDescent="0.3">
      <c r="A27" s="11" t="s">
        <v>230</v>
      </c>
      <c r="B27" s="10" t="s">
        <v>231</v>
      </c>
      <c r="C27" s="11">
        <v>2026</v>
      </c>
      <c r="D27" s="17" t="s">
        <v>232</v>
      </c>
      <c r="E27" s="10" t="s">
        <v>233</v>
      </c>
      <c r="F27" s="10" t="s">
        <v>234</v>
      </c>
      <c r="G27" s="11" t="s">
        <v>130</v>
      </c>
      <c r="H27" s="10" t="s">
        <v>235</v>
      </c>
      <c r="I27" s="10" t="s">
        <v>143</v>
      </c>
      <c r="J27" s="10"/>
      <c r="K27" s="11"/>
    </row>
    <row r="28" spans="1:11" ht="22.5" customHeight="1" x14ac:dyDescent="0.3">
      <c r="A28" s="18" t="s">
        <v>236</v>
      </c>
      <c r="B28" s="19" t="s">
        <v>237</v>
      </c>
      <c r="C28" s="18">
        <v>2021</v>
      </c>
      <c r="D28" s="20" t="s">
        <v>238</v>
      </c>
      <c r="E28" s="19" t="s">
        <v>239</v>
      </c>
      <c r="F28" s="19" t="s">
        <v>240</v>
      </c>
      <c r="G28" s="21" t="s">
        <v>109</v>
      </c>
      <c r="H28" s="19"/>
      <c r="I28" s="19" t="s">
        <v>164</v>
      </c>
      <c r="J28" s="19" t="s">
        <v>118</v>
      </c>
      <c r="K28" s="18">
        <v>96</v>
      </c>
    </row>
    <row r="29" spans="1:11" ht="22.5" customHeight="1" x14ac:dyDescent="0.3">
      <c r="A29" s="11" t="s">
        <v>241</v>
      </c>
      <c r="B29" s="10" t="s">
        <v>178</v>
      </c>
      <c r="C29" s="11">
        <v>2025</v>
      </c>
      <c r="D29" s="17" t="s">
        <v>242</v>
      </c>
      <c r="E29" s="10" t="s">
        <v>243</v>
      </c>
      <c r="F29" s="10" t="s">
        <v>244</v>
      </c>
      <c r="G29" s="15" t="s">
        <v>109</v>
      </c>
      <c r="H29" s="10"/>
      <c r="I29" s="10" t="s">
        <v>170</v>
      </c>
      <c r="J29" s="10" t="s">
        <v>171</v>
      </c>
      <c r="K29" s="11">
        <v>108</v>
      </c>
    </row>
    <row r="30" spans="1:11" ht="22.5" customHeight="1" x14ac:dyDescent="0.3">
      <c r="A30" s="18" t="s">
        <v>245</v>
      </c>
      <c r="B30" s="19" t="s">
        <v>178</v>
      </c>
      <c r="C30" s="18">
        <v>2024</v>
      </c>
      <c r="D30" s="20" t="s">
        <v>246</v>
      </c>
      <c r="E30" s="19" t="s">
        <v>247</v>
      </c>
      <c r="F30" s="19" t="s">
        <v>248</v>
      </c>
      <c r="G30" s="21" t="s">
        <v>109</v>
      </c>
      <c r="H30" s="19"/>
      <c r="I30" s="19" t="s">
        <v>170</v>
      </c>
      <c r="J30" s="19" t="s">
        <v>171</v>
      </c>
      <c r="K30" s="18">
        <v>104</v>
      </c>
    </row>
    <row r="31" spans="1:11" ht="22.5" customHeight="1" x14ac:dyDescent="0.3">
      <c r="A31" s="11" t="s">
        <v>249</v>
      </c>
      <c r="B31" s="10" t="s">
        <v>250</v>
      </c>
      <c r="C31" s="11">
        <v>2022</v>
      </c>
      <c r="D31" s="17" t="s">
        <v>251</v>
      </c>
      <c r="E31" s="10" t="s">
        <v>252</v>
      </c>
      <c r="F31" s="10" t="s">
        <v>253</v>
      </c>
      <c r="G31" s="15" t="s">
        <v>109</v>
      </c>
      <c r="H31" s="10"/>
      <c r="I31" s="10" t="s">
        <v>170</v>
      </c>
      <c r="J31" s="10" t="s">
        <v>254</v>
      </c>
      <c r="K31" s="11">
        <v>110</v>
      </c>
    </row>
    <row r="32" spans="1:11" ht="22.5" customHeight="1" x14ac:dyDescent="0.3">
      <c r="A32" s="18" t="s">
        <v>255</v>
      </c>
      <c r="B32" s="19" t="s">
        <v>256</v>
      </c>
      <c r="C32" s="18">
        <v>2020</v>
      </c>
      <c r="D32" s="20" t="s">
        <v>257</v>
      </c>
      <c r="E32" s="19" t="s">
        <v>258</v>
      </c>
      <c r="F32" s="19" t="s">
        <v>259</v>
      </c>
      <c r="G32" s="18" t="s">
        <v>130</v>
      </c>
      <c r="H32" s="19" t="s">
        <v>142</v>
      </c>
      <c r="I32" s="19" t="s">
        <v>143</v>
      </c>
      <c r="J32" s="19"/>
      <c r="K32" s="18"/>
    </row>
    <row r="33" spans="1:11" ht="22.5" customHeight="1" x14ac:dyDescent="0.3">
      <c r="A33" s="11" t="s">
        <v>260</v>
      </c>
      <c r="B33" s="10" t="s">
        <v>261</v>
      </c>
      <c r="C33" s="11">
        <v>2022</v>
      </c>
      <c r="D33" s="17" t="s">
        <v>262</v>
      </c>
      <c r="E33" s="10" t="s">
        <v>263</v>
      </c>
      <c r="F33" s="10" t="s">
        <v>264</v>
      </c>
      <c r="G33" s="11" t="s">
        <v>130</v>
      </c>
      <c r="H33" s="10" t="s">
        <v>192</v>
      </c>
      <c r="I33" s="10" t="s">
        <v>143</v>
      </c>
      <c r="J33" s="10"/>
      <c r="K33" s="11"/>
    </row>
    <row r="34" spans="1:11" ht="33.75" customHeight="1" x14ac:dyDescent="0.3">
      <c r="A34" s="18" t="s">
        <v>265</v>
      </c>
      <c r="B34" s="19" t="s">
        <v>266</v>
      </c>
      <c r="C34" s="18">
        <v>2025</v>
      </c>
      <c r="D34" s="20" t="s">
        <v>267</v>
      </c>
      <c r="E34" s="19" t="s">
        <v>268</v>
      </c>
      <c r="F34" s="19" t="s">
        <v>269</v>
      </c>
      <c r="G34" s="18" t="s">
        <v>130</v>
      </c>
      <c r="H34" s="19" t="s">
        <v>142</v>
      </c>
      <c r="I34" s="19" t="s">
        <v>143</v>
      </c>
      <c r="J34" s="19"/>
      <c r="K34" s="18"/>
    </row>
    <row r="35" spans="1:11" ht="22.5" customHeight="1" x14ac:dyDescent="0.3">
      <c r="A35" s="11" t="s">
        <v>270</v>
      </c>
      <c r="B35" s="10" t="s">
        <v>195</v>
      </c>
      <c r="C35" s="11">
        <v>2018</v>
      </c>
      <c r="D35" s="17" t="s">
        <v>271</v>
      </c>
      <c r="E35" s="10" t="s">
        <v>272</v>
      </c>
      <c r="F35" s="10" t="s">
        <v>273</v>
      </c>
      <c r="G35" s="15" t="s">
        <v>109</v>
      </c>
      <c r="H35" s="10"/>
      <c r="I35" s="10" t="s">
        <v>117</v>
      </c>
      <c r="J35" s="10" t="s">
        <v>111</v>
      </c>
      <c r="K35" s="11">
        <v>94</v>
      </c>
    </row>
    <row r="36" spans="1:11" ht="22.5" customHeight="1" x14ac:dyDescent="0.3">
      <c r="A36" s="18" t="s">
        <v>274</v>
      </c>
      <c r="B36" s="19" t="s">
        <v>195</v>
      </c>
      <c r="C36" s="18">
        <v>2014</v>
      </c>
      <c r="D36" s="20" t="s">
        <v>275</v>
      </c>
      <c r="E36" s="19" t="s">
        <v>122</v>
      </c>
      <c r="F36" s="19" t="s">
        <v>276</v>
      </c>
      <c r="G36" s="21" t="s">
        <v>109</v>
      </c>
      <c r="H36" s="19"/>
      <c r="I36" s="19" t="s">
        <v>117</v>
      </c>
      <c r="J36" s="19" t="s">
        <v>111</v>
      </c>
      <c r="K36" s="18">
        <v>55</v>
      </c>
    </row>
    <row r="37" spans="1:11" ht="22.5" customHeight="1" x14ac:dyDescent="0.3">
      <c r="A37" s="11" t="s">
        <v>277</v>
      </c>
      <c r="B37" s="10" t="s">
        <v>278</v>
      </c>
      <c r="C37" s="11">
        <v>2024</v>
      </c>
      <c r="D37" s="17" t="s">
        <v>279</v>
      </c>
      <c r="E37" s="10" t="s">
        <v>280</v>
      </c>
      <c r="F37" s="10" t="s">
        <v>281</v>
      </c>
      <c r="G37" s="11" t="s">
        <v>130</v>
      </c>
      <c r="H37" s="10" t="s">
        <v>282</v>
      </c>
      <c r="I37" s="10" t="s">
        <v>143</v>
      </c>
      <c r="J37" s="10"/>
      <c r="K37" s="11"/>
    </row>
    <row r="38" spans="1:11" ht="22.5" customHeight="1" x14ac:dyDescent="0.3">
      <c r="A38" s="18" t="s">
        <v>283</v>
      </c>
      <c r="B38" s="19" t="s">
        <v>284</v>
      </c>
      <c r="C38" s="18">
        <v>2024</v>
      </c>
      <c r="D38" s="20" t="s">
        <v>285</v>
      </c>
      <c r="E38" s="19" t="s">
        <v>286</v>
      </c>
      <c r="F38" s="19" t="s">
        <v>287</v>
      </c>
      <c r="G38" s="21" t="s">
        <v>109</v>
      </c>
      <c r="H38" s="19"/>
      <c r="I38" s="19" t="s">
        <v>170</v>
      </c>
      <c r="J38" s="19" t="s">
        <v>111</v>
      </c>
      <c r="K38" s="18">
        <v>91</v>
      </c>
    </row>
    <row r="39" spans="1:11" ht="22.5" customHeight="1" x14ac:dyDescent="0.3">
      <c r="A39" s="11" t="s">
        <v>288</v>
      </c>
      <c r="B39" s="10" t="s">
        <v>289</v>
      </c>
      <c r="C39" s="11">
        <v>2015</v>
      </c>
      <c r="D39" s="17" t="s">
        <v>290</v>
      </c>
      <c r="E39" s="10" t="s">
        <v>291</v>
      </c>
      <c r="F39" s="10" t="s">
        <v>292</v>
      </c>
      <c r="G39" s="15" t="s">
        <v>109</v>
      </c>
      <c r="H39" s="10"/>
      <c r="I39" s="10" t="s">
        <v>164</v>
      </c>
      <c r="J39" s="10" t="s">
        <v>118</v>
      </c>
      <c r="K39" s="11">
        <v>103</v>
      </c>
    </row>
    <row r="40" spans="1:11" ht="22.5" customHeight="1" x14ac:dyDescent="0.3">
      <c r="A40" s="18" t="s">
        <v>293</v>
      </c>
      <c r="B40" s="19" t="s">
        <v>294</v>
      </c>
      <c r="C40" s="18">
        <v>2023</v>
      </c>
      <c r="D40" s="20" t="s">
        <v>295</v>
      </c>
      <c r="E40" s="19" t="s">
        <v>296</v>
      </c>
      <c r="F40" s="19" t="s">
        <v>297</v>
      </c>
      <c r="G40" s="18" t="s">
        <v>130</v>
      </c>
      <c r="H40" s="19" t="s">
        <v>142</v>
      </c>
      <c r="I40" s="19" t="s">
        <v>143</v>
      </c>
      <c r="J40" s="19"/>
      <c r="K40" s="18"/>
    </row>
    <row r="41" spans="1:11" ht="22.5" customHeight="1" x14ac:dyDescent="0.3">
      <c r="A41" s="11" t="s">
        <v>298</v>
      </c>
      <c r="B41" s="10" t="s">
        <v>205</v>
      </c>
      <c r="C41" s="11">
        <v>2021</v>
      </c>
      <c r="D41" s="17" t="s">
        <v>299</v>
      </c>
      <c r="E41" s="10" t="s">
        <v>197</v>
      </c>
      <c r="F41" s="10" t="s">
        <v>300</v>
      </c>
      <c r="G41" s="15" t="s">
        <v>109</v>
      </c>
      <c r="H41" s="10"/>
      <c r="I41" s="10" t="s">
        <v>170</v>
      </c>
      <c r="J41" s="10" t="s">
        <v>171</v>
      </c>
      <c r="K41" s="11">
        <v>105</v>
      </c>
    </row>
    <row r="42" spans="1:11" ht="33.75" customHeight="1" x14ac:dyDescent="0.3">
      <c r="A42" s="18" t="s">
        <v>301</v>
      </c>
      <c r="B42" s="19" t="s">
        <v>302</v>
      </c>
      <c r="C42" s="18">
        <v>2021</v>
      </c>
      <c r="D42" s="20" t="s">
        <v>303</v>
      </c>
      <c r="E42" s="19" t="s">
        <v>268</v>
      </c>
      <c r="F42" s="19" t="s">
        <v>304</v>
      </c>
      <c r="G42" s="21" t="s">
        <v>109</v>
      </c>
      <c r="H42" s="19"/>
      <c r="I42" s="19" t="s">
        <v>164</v>
      </c>
      <c r="J42" s="19" t="s">
        <v>124</v>
      </c>
      <c r="K42" s="18">
        <v>76</v>
      </c>
    </row>
    <row r="43" spans="1:11" ht="22.5" customHeight="1" x14ac:dyDescent="0.3">
      <c r="A43" s="11" t="s">
        <v>305</v>
      </c>
      <c r="B43" s="10" t="s">
        <v>302</v>
      </c>
      <c r="C43" s="11">
        <v>2020</v>
      </c>
      <c r="D43" s="17" t="s">
        <v>306</v>
      </c>
      <c r="E43" s="10" t="s">
        <v>307</v>
      </c>
      <c r="F43" s="10" t="s">
        <v>308</v>
      </c>
      <c r="G43" s="15" t="s">
        <v>109</v>
      </c>
      <c r="H43" s="10"/>
      <c r="I43" s="10" t="s">
        <v>164</v>
      </c>
      <c r="J43" s="10" t="s">
        <v>124</v>
      </c>
      <c r="K43" s="11">
        <v>75</v>
      </c>
    </row>
    <row r="44" spans="1:11" ht="22.5" customHeight="1" x14ac:dyDescent="0.3">
      <c r="A44" s="18" t="s">
        <v>309</v>
      </c>
      <c r="B44" s="19" t="s">
        <v>310</v>
      </c>
      <c r="C44" s="18">
        <v>2012</v>
      </c>
      <c r="D44" s="20" t="s">
        <v>311</v>
      </c>
      <c r="E44" s="19" t="s">
        <v>312</v>
      </c>
      <c r="F44" s="19" t="s">
        <v>313</v>
      </c>
      <c r="G44" s="21" t="s">
        <v>109</v>
      </c>
      <c r="H44" s="19"/>
      <c r="I44" s="19" t="s">
        <v>164</v>
      </c>
      <c r="J44" s="19" t="s">
        <v>111</v>
      </c>
      <c r="K44" s="18">
        <v>92</v>
      </c>
    </row>
    <row r="45" spans="1:11" ht="22.5" customHeight="1" x14ac:dyDescent="0.3">
      <c r="A45" s="11" t="s">
        <v>314</v>
      </c>
      <c r="B45" s="10" t="s">
        <v>315</v>
      </c>
      <c r="C45" s="11">
        <v>2022</v>
      </c>
      <c r="D45" s="17" t="s">
        <v>316</v>
      </c>
      <c r="E45" s="10" t="s">
        <v>197</v>
      </c>
      <c r="F45" s="10" t="s">
        <v>317</v>
      </c>
      <c r="G45" s="15" t="s">
        <v>109</v>
      </c>
      <c r="H45" s="10"/>
      <c r="I45" s="10" t="s">
        <v>164</v>
      </c>
      <c r="J45" s="10" t="s">
        <v>124</v>
      </c>
      <c r="K45" s="11">
        <v>80</v>
      </c>
    </row>
    <row r="46" spans="1:11" ht="33.75" customHeight="1" x14ac:dyDescent="0.3">
      <c r="A46" s="18" t="s">
        <v>318</v>
      </c>
      <c r="B46" s="19" t="s">
        <v>319</v>
      </c>
      <c r="C46" s="18">
        <v>2024</v>
      </c>
      <c r="D46" s="20" t="s">
        <v>320</v>
      </c>
      <c r="E46" s="19" t="s">
        <v>321</v>
      </c>
      <c r="F46" s="19" t="s">
        <v>322</v>
      </c>
      <c r="G46" s="18" t="s">
        <v>209</v>
      </c>
      <c r="H46" s="19" t="s">
        <v>210</v>
      </c>
      <c r="I46" s="19"/>
      <c r="J46" s="19"/>
      <c r="K46" s="18"/>
    </row>
    <row r="47" spans="1:11" ht="22.5" customHeight="1" x14ac:dyDescent="0.3">
      <c r="A47" s="11" t="s">
        <v>323</v>
      </c>
      <c r="B47" s="10" t="s">
        <v>324</v>
      </c>
      <c r="C47" s="11">
        <v>2023</v>
      </c>
      <c r="D47" s="17" t="s">
        <v>325</v>
      </c>
      <c r="E47" s="10" t="s">
        <v>326</v>
      </c>
      <c r="F47" s="10" t="s">
        <v>327</v>
      </c>
      <c r="G47" s="11" t="s">
        <v>130</v>
      </c>
      <c r="H47" s="10" t="s">
        <v>142</v>
      </c>
      <c r="I47" s="10" t="s">
        <v>143</v>
      </c>
      <c r="J47" s="10"/>
      <c r="K47" s="11"/>
    </row>
    <row r="48" spans="1:11" ht="22.5" customHeight="1" x14ac:dyDescent="0.3">
      <c r="A48" s="18" t="s">
        <v>328</v>
      </c>
      <c r="B48" s="19" t="s">
        <v>329</v>
      </c>
      <c r="C48" s="18">
        <v>2022</v>
      </c>
      <c r="D48" s="20" t="s">
        <v>330</v>
      </c>
      <c r="E48" s="19" t="s">
        <v>197</v>
      </c>
      <c r="F48" s="19" t="s">
        <v>331</v>
      </c>
      <c r="G48" s="21" t="s">
        <v>109</v>
      </c>
      <c r="H48" s="19"/>
      <c r="I48" s="19" t="s">
        <v>164</v>
      </c>
      <c r="J48" s="19" t="s">
        <v>254</v>
      </c>
      <c r="K48" s="18">
        <v>111</v>
      </c>
    </row>
    <row r="49" spans="1:11" ht="22.5" customHeight="1" x14ac:dyDescent="0.3">
      <c r="A49" s="11" t="s">
        <v>332</v>
      </c>
      <c r="B49" s="10" t="s">
        <v>333</v>
      </c>
      <c r="C49" s="11">
        <v>2019</v>
      </c>
      <c r="D49" s="17" t="s">
        <v>334</v>
      </c>
      <c r="E49" s="10" t="s">
        <v>335</v>
      </c>
      <c r="F49" s="10" t="s">
        <v>336</v>
      </c>
      <c r="G49" s="15" t="s">
        <v>109</v>
      </c>
      <c r="H49" s="10"/>
      <c r="I49" s="10" t="s">
        <v>110</v>
      </c>
      <c r="J49" s="10" t="s">
        <v>111</v>
      </c>
      <c r="K49" s="11">
        <v>88</v>
      </c>
    </row>
    <row r="50" spans="1:11" ht="22.5" customHeight="1" x14ac:dyDescent="0.3">
      <c r="A50" s="18" t="s">
        <v>337</v>
      </c>
      <c r="B50" s="19" t="s">
        <v>338</v>
      </c>
      <c r="C50" s="18">
        <v>2008</v>
      </c>
      <c r="D50" s="20" t="s">
        <v>339</v>
      </c>
      <c r="E50" s="19" t="s">
        <v>340</v>
      </c>
      <c r="F50" s="19" t="s">
        <v>341</v>
      </c>
      <c r="G50" s="18" t="s">
        <v>130</v>
      </c>
      <c r="H50" s="19" t="s">
        <v>192</v>
      </c>
      <c r="I50" s="19" t="s">
        <v>193</v>
      </c>
      <c r="J50" s="19"/>
      <c r="K50" s="18"/>
    </row>
    <row r="51" spans="1:11" ht="33.75" customHeight="1" x14ac:dyDescent="0.3">
      <c r="A51" s="11" t="s">
        <v>342</v>
      </c>
      <c r="B51" s="10" t="s">
        <v>343</v>
      </c>
      <c r="C51" s="11">
        <v>2016</v>
      </c>
      <c r="D51" s="17" t="s">
        <v>344</v>
      </c>
      <c r="E51" s="10" t="s">
        <v>140</v>
      </c>
      <c r="F51" s="10" t="s">
        <v>345</v>
      </c>
      <c r="G51" s="11" t="s">
        <v>209</v>
      </c>
      <c r="H51" s="10" t="s">
        <v>210</v>
      </c>
      <c r="I51" s="10"/>
      <c r="J51" s="10"/>
      <c r="K51" s="11"/>
    </row>
    <row r="52" spans="1:11" ht="22.5" customHeight="1" x14ac:dyDescent="0.3">
      <c r="A52" s="18" t="s">
        <v>346</v>
      </c>
      <c r="B52" s="19" t="s">
        <v>347</v>
      </c>
      <c r="C52" s="18">
        <v>2017</v>
      </c>
      <c r="D52" s="20" t="s">
        <v>348</v>
      </c>
      <c r="E52" s="19" t="s">
        <v>349</v>
      </c>
      <c r="F52" s="19" t="s">
        <v>350</v>
      </c>
      <c r="G52" s="21" t="s">
        <v>109</v>
      </c>
      <c r="H52" s="19"/>
      <c r="I52" s="19" t="s">
        <v>164</v>
      </c>
      <c r="J52" s="19" t="s">
        <v>111</v>
      </c>
      <c r="K52" s="18">
        <v>53</v>
      </c>
    </row>
    <row r="53" spans="1:11" ht="22.5" customHeight="1" x14ac:dyDescent="0.3">
      <c r="A53" s="11" t="s">
        <v>351</v>
      </c>
      <c r="B53" s="10" t="s">
        <v>120</v>
      </c>
      <c r="C53" s="11">
        <v>2014</v>
      </c>
      <c r="D53" s="17" t="s">
        <v>352</v>
      </c>
      <c r="E53" s="10" t="s">
        <v>353</v>
      </c>
      <c r="F53" s="10" t="s">
        <v>354</v>
      </c>
      <c r="G53" s="15" t="s">
        <v>109</v>
      </c>
      <c r="H53" s="10"/>
      <c r="I53" s="10" t="s">
        <v>164</v>
      </c>
      <c r="J53" s="10" t="s">
        <v>124</v>
      </c>
      <c r="K53" s="11">
        <v>85</v>
      </c>
    </row>
    <row r="54" spans="1:11" ht="22.5" customHeight="1" x14ac:dyDescent="0.3">
      <c r="A54" s="18" t="s">
        <v>355</v>
      </c>
      <c r="B54" s="19" t="s">
        <v>356</v>
      </c>
      <c r="C54" s="18">
        <v>2014</v>
      </c>
      <c r="D54" s="20" t="s">
        <v>357</v>
      </c>
      <c r="E54" s="19" t="s">
        <v>349</v>
      </c>
      <c r="F54" s="19" t="s">
        <v>358</v>
      </c>
      <c r="G54" s="21" t="s">
        <v>109</v>
      </c>
      <c r="H54" s="19"/>
      <c r="I54" s="19" t="s">
        <v>359</v>
      </c>
      <c r="J54" s="19" t="s">
        <v>111</v>
      </c>
      <c r="K54" s="18">
        <v>90</v>
      </c>
    </row>
    <row r="55" spans="1:11" ht="33.75" customHeight="1" x14ac:dyDescent="0.3">
      <c r="A55" s="11" t="s">
        <v>360</v>
      </c>
      <c r="B55" s="10" t="s">
        <v>356</v>
      </c>
      <c r="C55" s="11">
        <v>2011</v>
      </c>
      <c r="D55" s="17" t="s">
        <v>361</v>
      </c>
      <c r="E55" s="10" t="s">
        <v>197</v>
      </c>
      <c r="F55" s="10" t="s">
        <v>362</v>
      </c>
      <c r="G55" s="15" t="s">
        <v>109</v>
      </c>
      <c r="H55" s="10"/>
      <c r="I55" s="10" t="s">
        <v>359</v>
      </c>
      <c r="J55" s="10" t="s">
        <v>111</v>
      </c>
      <c r="K55" s="11">
        <v>89</v>
      </c>
    </row>
    <row r="56" spans="1:11" ht="22.5" customHeight="1" x14ac:dyDescent="0.3">
      <c r="A56" s="18" t="s">
        <v>363</v>
      </c>
      <c r="B56" s="19" t="s">
        <v>364</v>
      </c>
      <c r="C56" s="18">
        <v>2021</v>
      </c>
      <c r="D56" s="20" t="s">
        <v>365</v>
      </c>
      <c r="E56" s="19" t="s">
        <v>128</v>
      </c>
      <c r="F56" s="19" t="s">
        <v>366</v>
      </c>
      <c r="G56" s="18" t="s">
        <v>130</v>
      </c>
      <c r="H56" s="19" t="s">
        <v>142</v>
      </c>
      <c r="I56" s="19" t="s">
        <v>143</v>
      </c>
      <c r="J56" s="19"/>
      <c r="K56" s="18"/>
    </row>
    <row r="57" spans="1:11" ht="33.75" customHeight="1" x14ac:dyDescent="0.3">
      <c r="A57" s="11" t="s">
        <v>367</v>
      </c>
      <c r="B57" s="10" t="s">
        <v>368</v>
      </c>
      <c r="C57" s="11">
        <v>2018</v>
      </c>
      <c r="D57" s="17" t="s">
        <v>369</v>
      </c>
      <c r="E57" s="10" t="s">
        <v>370</v>
      </c>
      <c r="F57" s="10" t="s">
        <v>371</v>
      </c>
      <c r="G57" s="11" t="s">
        <v>209</v>
      </c>
      <c r="H57" s="10" t="s">
        <v>210</v>
      </c>
      <c r="I57" s="10"/>
      <c r="J57" s="10"/>
      <c r="K57" s="11"/>
    </row>
    <row r="58" spans="1:11" ht="22.5" customHeight="1" x14ac:dyDescent="0.3">
      <c r="A58" s="18" t="s">
        <v>372</v>
      </c>
      <c r="B58" s="19" t="s">
        <v>373</v>
      </c>
      <c r="C58" s="18">
        <v>2011</v>
      </c>
      <c r="D58" s="20" t="s">
        <v>374</v>
      </c>
      <c r="E58" s="19" t="s">
        <v>375</v>
      </c>
      <c r="F58" s="19" t="s">
        <v>376</v>
      </c>
      <c r="G58" s="21" t="s">
        <v>109</v>
      </c>
      <c r="H58" s="19"/>
      <c r="I58" s="19" t="s">
        <v>164</v>
      </c>
      <c r="J58" s="19" t="s">
        <v>124</v>
      </c>
      <c r="K58" s="18">
        <v>83</v>
      </c>
    </row>
    <row r="59" spans="1:11" ht="22.5" customHeight="1" x14ac:dyDescent="0.3">
      <c r="A59" s="11" t="s">
        <v>377</v>
      </c>
      <c r="B59" s="10" t="s">
        <v>378</v>
      </c>
      <c r="C59" s="11">
        <v>2020</v>
      </c>
      <c r="D59" s="17" t="s">
        <v>379</v>
      </c>
      <c r="E59" s="10" t="s">
        <v>380</v>
      </c>
      <c r="F59" s="10" t="s">
        <v>381</v>
      </c>
      <c r="G59" s="15" t="s">
        <v>109</v>
      </c>
      <c r="H59" s="10"/>
      <c r="I59" s="10" t="s">
        <v>164</v>
      </c>
      <c r="J59" s="10" t="s">
        <v>111</v>
      </c>
      <c r="K59" s="11">
        <v>86</v>
      </c>
    </row>
    <row r="60" spans="1:11" ht="33.75" customHeight="1" x14ac:dyDescent="0.3">
      <c r="A60" s="18" t="s">
        <v>382</v>
      </c>
      <c r="B60" s="19" t="s">
        <v>383</v>
      </c>
      <c r="C60" s="18">
        <v>2006</v>
      </c>
      <c r="D60" s="20" t="s">
        <v>384</v>
      </c>
      <c r="E60" s="19" t="s">
        <v>385</v>
      </c>
      <c r="F60" s="19" t="s">
        <v>386</v>
      </c>
      <c r="G60" s="18" t="s">
        <v>130</v>
      </c>
      <c r="H60" s="19" t="s">
        <v>142</v>
      </c>
      <c r="I60" s="19" t="s">
        <v>143</v>
      </c>
      <c r="J60" s="19"/>
      <c r="K60" s="18"/>
    </row>
    <row r="61" spans="1:11" ht="22.5" customHeight="1" x14ac:dyDescent="0.3">
      <c r="A61" s="11" t="s">
        <v>387</v>
      </c>
      <c r="B61" s="10" t="s">
        <v>388</v>
      </c>
      <c r="C61" s="11">
        <v>2013</v>
      </c>
      <c r="D61" s="17" t="s">
        <v>389</v>
      </c>
      <c r="E61" s="10" t="s">
        <v>390</v>
      </c>
      <c r="F61" s="10" t="s">
        <v>391</v>
      </c>
      <c r="G61" s="11" t="s">
        <v>130</v>
      </c>
      <c r="H61" s="10" t="s">
        <v>235</v>
      </c>
      <c r="I61" s="10" t="s">
        <v>143</v>
      </c>
      <c r="J61" s="10"/>
      <c r="K61" s="11"/>
    </row>
    <row r="62" spans="1:11" ht="22.5" customHeight="1" x14ac:dyDescent="0.3">
      <c r="A62" s="18" t="s">
        <v>392</v>
      </c>
      <c r="B62" s="19" t="s">
        <v>393</v>
      </c>
      <c r="C62" s="18">
        <v>2016</v>
      </c>
      <c r="D62" s="20" t="s">
        <v>394</v>
      </c>
      <c r="E62" s="19" t="s">
        <v>395</v>
      </c>
      <c r="F62" s="19" t="s">
        <v>396</v>
      </c>
      <c r="G62" s="21" t="s">
        <v>109</v>
      </c>
      <c r="H62" s="19"/>
      <c r="I62" s="19" t="s">
        <v>164</v>
      </c>
      <c r="J62" s="19" t="s">
        <v>254</v>
      </c>
      <c r="K62" s="18">
        <v>109</v>
      </c>
    </row>
    <row r="63" spans="1:11" ht="22.5" customHeight="1" x14ac:dyDescent="0.3">
      <c r="A63" s="11" t="s">
        <v>397</v>
      </c>
      <c r="B63" s="10" t="s">
        <v>398</v>
      </c>
      <c r="C63" s="11">
        <v>2021</v>
      </c>
      <c r="D63" s="17" t="s">
        <v>399</v>
      </c>
      <c r="E63" s="10" t="s">
        <v>312</v>
      </c>
      <c r="F63" s="10" t="s">
        <v>400</v>
      </c>
      <c r="G63" s="15" t="s">
        <v>109</v>
      </c>
      <c r="H63" s="10"/>
      <c r="I63" s="10" t="s">
        <v>164</v>
      </c>
      <c r="J63" s="10" t="s">
        <v>124</v>
      </c>
      <c r="K63" s="11">
        <v>77</v>
      </c>
    </row>
    <row r="64" spans="1:11" ht="22.5" customHeight="1" x14ac:dyDescent="0.3">
      <c r="A64" s="18" t="s">
        <v>401</v>
      </c>
      <c r="B64" s="19" t="s">
        <v>402</v>
      </c>
      <c r="C64" s="18">
        <v>2012</v>
      </c>
      <c r="D64" s="20" t="s">
        <v>403</v>
      </c>
      <c r="E64" s="19" t="s">
        <v>404</v>
      </c>
      <c r="F64" s="19" t="s">
        <v>405</v>
      </c>
      <c r="G64" s="21" t="s">
        <v>109</v>
      </c>
      <c r="H64" s="19"/>
      <c r="I64" s="19" t="s">
        <v>170</v>
      </c>
      <c r="J64" s="19" t="s">
        <v>111</v>
      </c>
      <c r="K64" s="18">
        <v>93</v>
      </c>
    </row>
    <row r="65" spans="1:11" ht="22.5" customHeight="1" x14ac:dyDescent="0.3">
      <c r="A65" s="11" t="s">
        <v>406</v>
      </c>
      <c r="B65" s="10" t="s">
        <v>407</v>
      </c>
      <c r="C65" s="11">
        <v>2025</v>
      </c>
      <c r="D65" s="17" t="s">
        <v>408</v>
      </c>
      <c r="E65" s="10" t="s">
        <v>409</v>
      </c>
      <c r="F65" s="10" t="s">
        <v>410</v>
      </c>
      <c r="G65" s="11" t="s">
        <v>130</v>
      </c>
      <c r="H65" s="10" t="s">
        <v>192</v>
      </c>
      <c r="I65" s="10" t="s">
        <v>193</v>
      </c>
      <c r="J65" s="10"/>
      <c r="K65" s="11"/>
    </row>
    <row r="66" spans="1:11" ht="33.75" customHeight="1" x14ac:dyDescent="0.3">
      <c r="A66" s="18" t="s">
        <v>411</v>
      </c>
      <c r="B66" s="19" t="s">
        <v>412</v>
      </c>
      <c r="C66" s="18">
        <v>2020</v>
      </c>
      <c r="D66" s="20" t="s">
        <v>413</v>
      </c>
      <c r="E66" s="19" t="s">
        <v>321</v>
      </c>
      <c r="F66" s="19" t="s">
        <v>414</v>
      </c>
      <c r="G66" s="18" t="s">
        <v>209</v>
      </c>
      <c r="H66" s="19" t="s">
        <v>210</v>
      </c>
      <c r="I66" s="19"/>
      <c r="J66" s="19"/>
      <c r="K66" s="18"/>
    </row>
    <row r="67" spans="1:11" ht="22.5" customHeight="1" x14ac:dyDescent="0.3">
      <c r="A67" s="11" t="s">
        <v>415</v>
      </c>
      <c r="B67" s="10" t="s">
        <v>416</v>
      </c>
      <c r="C67" s="11">
        <v>2023</v>
      </c>
      <c r="D67" s="17" t="s">
        <v>417</v>
      </c>
      <c r="E67" s="10" t="s">
        <v>228</v>
      </c>
      <c r="F67" s="10" t="s">
        <v>418</v>
      </c>
      <c r="G67" s="11" t="s">
        <v>130</v>
      </c>
      <c r="H67" s="10" t="s">
        <v>142</v>
      </c>
      <c r="I67" s="10" t="s">
        <v>143</v>
      </c>
      <c r="J67" s="10"/>
      <c r="K67" s="11"/>
    </row>
    <row r="68" spans="1:11" ht="22.5" customHeight="1" x14ac:dyDescent="0.3">
      <c r="A68" s="18" t="s">
        <v>419</v>
      </c>
      <c r="B68" s="19" t="s">
        <v>420</v>
      </c>
      <c r="C68" s="18">
        <v>2020</v>
      </c>
      <c r="D68" s="20" t="s">
        <v>421</v>
      </c>
      <c r="E68" s="19" t="s">
        <v>404</v>
      </c>
      <c r="F68" s="19" t="s">
        <v>422</v>
      </c>
      <c r="G68" s="21" t="s">
        <v>109</v>
      </c>
      <c r="H68" s="19"/>
      <c r="I68" s="19" t="s">
        <v>164</v>
      </c>
      <c r="J68" s="19" t="s">
        <v>118</v>
      </c>
      <c r="K68" s="18">
        <v>101</v>
      </c>
    </row>
    <row r="69" spans="1:11" ht="33.75" customHeight="1" x14ac:dyDescent="0.3">
      <c r="A69" s="11" t="s">
        <v>423</v>
      </c>
      <c r="B69" s="10" t="s">
        <v>424</v>
      </c>
      <c r="C69" s="11">
        <v>2019</v>
      </c>
      <c r="D69" s="17" t="s">
        <v>425</v>
      </c>
      <c r="E69" s="10" t="s">
        <v>426</v>
      </c>
      <c r="F69" s="10" t="s">
        <v>427</v>
      </c>
      <c r="G69" s="11" t="s">
        <v>209</v>
      </c>
      <c r="H69" s="10" t="s">
        <v>210</v>
      </c>
      <c r="I69" s="10"/>
      <c r="J69" s="10"/>
      <c r="K69" s="11"/>
    </row>
    <row r="70" spans="1:11" ht="22.5" customHeight="1" x14ac:dyDescent="0.3">
      <c r="A70" s="18" t="s">
        <v>428</v>
      </c>
      <c r="B70" s="19" t="s">
        <v>429</v>
      </c>
      <c r="C70" s="18">
        <v>2024</v>
      </c>
      <c r="D70" s="20" t="s">
        <v>430</v>
      </c>
      <c r="E70" s="19" t="s">
        <v>431</v>
      </c>
      <c r="F70" s="19" t="s">
        <v>432</v>
      </c>
      <c r="G70" s="18" t="s">
        <v>130</v>
      </c>
      <c r="H70" s="19" t="s">
        <v>192</v>
      </c>
      <c r="I70" s="19" t="s">
        <v>143</v>
      </c>
      <c r="J70" s="19"/>
      <c r="K70" s="18"/>
    </row>
    <row r="71" spans="1:11" ht="33.75" customHeight="1" x14ac:dyDescent="0.3">
      <c r="A71" s="11" t="s">
        <v>433</v>
      </c>
      <c r="B71" s="10" t="s">
        <v>434</v>
      </c>
      <c r="C71" s="11">
        <v>2020</v>
      </c>
      <c r="D71" s="17" t="s">
        <v>435</v>
      </c>
      <c r="E71" s="10" t="s">
        <v>436</v>
      </c>
      <c r="F71" s="10" t="s">
        <v>437</v>
      </c>
      <c r="G71" s="11" t="s">
        <v>209</v>
      </c>
      <c r="H71" s="10" t="s">
        <v>210</v>
      </c>
      <c r="I71" s="10"/>
      <c r="J71" s="10"/>
      <c r="K71" s="11"/>
    </row>
    <row r="72" spans="1:11" ht="22.5" customHeight="1" x14ac:dyDescent="0.3">
      <c r="A72" s="18" t="s">
        <v>438</v>
      </c>
      <c r="B72" s="19" t="s">
        <v>439</v>
      </c>
      <c r="C72" s="18">
        <v>2018</v>
      </c>
      <c r="D72" s="20" t="s">
        <v>440</v>
      </c>
      <c r="E72" s="19" t="s">
        <v>312</v>
      </c>
      <c r="F72" s="19" t="s">
        <v>441</v>
      </c>
      <c r="G72" s="21" t="s">
        <v>109</v>
      </c>
      <c r="H72" s="19"/>
      <c r="I72" s="19" t="s">
        <v>164</v>
      </c>
      <c r="J72" s="19" t="s">
        <v>124</v>
      </c>
      <c r="K72" s="18">
        <v>84</v>
      </c>
    </row>
    <row r="73" spans="1:11" ht="22.5" customHeight="1" x14ac:dyDescent="0.3">
      <c r="A73" s="11" t="s">
        <v>442</v>
      </c>
      <c r="B73" s="10" t="s">
        <v>443</v>
      </c>
      <c r="C73" s="11">
        <v>2019</v>
      </c>
      <c r="D73" s="17" t="s">
        <v>444</v>
      </c>
      <c r="E73" s="10" t="s">
        <v>445</v>
      </c>
      <c r="F73" s="10" t="s">
        <v>446</v>
      </c>
      <c r="G73" s="15" t="s">
        <v>109</v>
      </c>
      <c r="H73" s="10"/>
      <c r="I73" s="10" t="s">
        <v>164</v>
      </c>
      <c r="J73" s="10" t="s">
        <v>124</v>
      </c>
      <c r="K73" s="11">
        <v>82</v>
      </c>
    </row>
    <row r="74" spans="1:11" ht="33.75" customHeight="1" x14ac:dyDescent="0.3">
      <c r="A74" s="18" t="s">
        <v>447</v>
      </c>
      <c r="B74" s="19" t="s">
        <v>448</v>
      </c>
      <c r="C74" s="18">
        <v>2022</v>
      </c>
      <c r="D74" s="20" t="s">
        <v>449</v>
      </c>
      <c r="E74" s="19" t="s">
        <v>450</v>
      </c>
      <c r="F74" s="19" t="s">
        <v>451</v>
      </c>
      <c r="G74" s="21" t="s">
        <v>109</v>
      </c>
      <c r="H74" s="19"/>
      <c r="I74" s="19" t="s">
        <v>164</v>
      </c>
      <c r="J74" s="19" t="s">
        <v>124</v>
      </c>
      <c r="K74" s="18">
        <v>81</v>
      </c>
    </row>
    <row r="76" spans="1:11" ht="14.25" customHeight="1" x14ac:dyDescent="0.3">
      <c r="A76" s="12" t="s">
        <v>452</v>
      </c>
    </row>
    <row r="77" spans="1:11" ht="14.25" customHeight="1" x14ac:dyDescent="0.3">
      <c r="A77" s="22" t="s">
        <v>453</v>
      </c>
      <c r="B77" s="12">
        <f>COUNTA(A5:A74)</f>
        <v>70</v>
      </c>
    </row>
    <row r="78" spans="1:11" ht="14.25" customHeight="1" x14ac:dyDescent="0.3">
      <c r="A78" s="22" t="s">
        <v>209</v>
      </c>
      <c r="B78" s="12">
        <f>COUNTIF(G5:G74,"Not retrieved")</f>
        <v>7</v>
      </c>
    </row>
    <row r="79" spans="1:11" ht="14.25" customHeight="1" x14ac:dyDescent="0.3">
      <c r="A79" s="22" t="s">
        <v>454</v>
      </c>
      <c r="B79" s="12">
        <f>B77-B78</f>
        <v>63</v>
      </c>
    </row>
    <row r="80" spans="1:11" ht="14.25" customHeight="1" x14ac:dyDescent="0.3">
      <c r="A80" s="22" t="s">
        <v>130</v>
      </c>
      <c r="B80" s="12">
        <f>COUNTIF(G5:G74,"Excluded")</f>
        <v>22</v>
      </c>
    </row>
    <row r="81" spans="1:2" ht="14.25" customHeight="1" x14ac:dyDescent="0.3">
      <c r="A81" s="22" t="s">
        <v>109</v>
      </c>
      <c r="B81" s="12">
        <f>COUNTIF(G5:G74,"Included")</f>
        <v>41</v>
      </c>
    </row>
  </sheetData>
  <autoFilter ref="A4:K74"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5"/>
  <sheetViews>
    <sheetView showGridLines="0" zoomScaleNormal="100" workbookViewId="0">
      <pane xSplit="2" ySplit="4" topLeftCell="C5" activePane="bottomRight" state="frozen"/>
      <selection pane="topRight" activeCell="N1" sqref="N1"/>
      <selection pane="bottomLeft" activeCell="A5" sqref="A5"/>
      <selection pane="bottomRight" activeCell="H2" sqref="H2"/>
    </sheetView>
  </sheetViews>
  <sheetFormatPr defaultColWidth="8.6640625" defaultRowHeight="14.4" x14ac:dyDescent="0.3"/>
  <cols>
    <col min="1" max="1" width="24" customWidth="1"/>
    <col min="2" max="2" width="15" customWidth="1"/>
    <col min="3" max="4" width="6" customWidth="1"/>
    <col min="5" max="5" width="12" customWidth="1"/>
    <col min="6" max="6" width="22" customWidth="1"/>
    <col min="7" max="7" width="7.6640625" customWidth="1"/>
    <col min="8" max="8" width="48" customWidth="1"/>
    <col min="9" max="9" width="6.77734375" customWidth="1"/>
    <col min="10" max="10" width="48" customWidth="1"/>
    <col min="11" max="11" width="6.6640625" customWidth="1"/>
    <col min="12" max="12" width="48" customWidth="1"/>
    <col min="13" max="13" width="7" customWidth="1"/>
    <col min="14" max="14" width="48" customWidth="1"/>
    <col min="15" max="15" width="6.33203125" customWidth="1"/>
    <col min="16" max="16" width="48" customWidth="1"/>
    <col min="17" max="17" width="6.33203125" customWidth="1"/>
    <col min="18" max="18" width="48" customWidth="1"/>
    <col min="19" max="19" width="9.33203125" customWidth="1"/>
    <col min="20" max="20" width="9" customWidth="1"/>
  </cols>
  <sheetData>
    <row r="1" spans="1:20" ht="15" customHeight="1" x14ac:dyDescent="0.3">
      <c r="A1" s="7" t="s">
        <v>455</v>
      </c>
    </row>
    <row r="2" spans="1:20" ht="66" customHeight="1" x14ac:dyDescent="0.3">
      <c r="A2" s="8" t="s">
        <v>456</v>
      </c>
    </row>
    <row r="4" spans="1:20" ht="14.25" customHeight="1" x14ac:dyDescent="0.3">
      <c r="A4" s="9" t="s">
        <v>93</v>
      </c>
      <c r="B4" s="9" t="s">
        <v>94</v>
      </c>
      <c r="C4" s="9" t="s">
        <v>95</v>
      </c>
      <c r="D4" s="9" t="s">
        <v>103</v>
      </c>
      <c r="E4" s="9" t="s">
        <v>457</v>
      </c>
      <c r="F4" s="9" t="s">
        <v>102</v>
      </c>
      <c r="G4" s="9" t="s">
        <v>50</v>
      </c>
      <c r="H4" s="9" t="s">
        <v>458</v>
      </c>
      <c r="I4" s="9" t="s">
        <v>56</v>
      </c>
      <c r="J4" s="9" t="s">
        <v>459</v>
      </c>
      <c r="K4" s="9" t="s">
        <v>62</v>
      </c>
      <c r="L4" s="9" t="s">
        <v>460</v>
      </c>
      <c r="M4" s="9" t="s">
        <v>68</v>
      </c>
      <c r="N4" s="9" t="s">
        <v>461</v>
      </c>
      <c r="O4" s="9" t="s">
        <v>74</v>
      </c>
      <c r="P4" s="9" t="s">
        <v>462</v>
      </c>
      <c r="Q4" s="9" t="s">
        <v>80</v>
      </c>
      <c r="R4" s="9" t="s">
        <v>463</v>
      </c>
      <c r="S4" s="9" t="s">
        <v>464</v>
      </c>
      <c r="T4" s="9" t="s">
        <v>465</v>
      </c>
    </row>
    <row r="5" spans="1:20" ht="150" customHeight="1" x14ac:dyDescent="0.3">
      <c r="A5" s="11" t="s">
        <v>305</v>
      </c>
      <c r="B5" s="10" t="s">
        <v>302</v>
      </c>
      <c r="C5" s="11">
        <v>2020</v>
      </c>
      <c r="D5" s="11">
        <v>75</v>
      </c>
      <c r="E5" s="10" t="s">
        <v>164</v>
      </c>
      <c r="F5" s="10" t="s">
        <v>124</v>
      </c>
      <c r="G5" s="15">
        <v>2</v>
      </c>
      <c r="H5" s="10" t="s">
        <v>466</v>
      </c>
      <c r="I5" s="15">
        <v>2</v>
      </c>
      <c r="J5" s="10" t="s">
        <v>467</v>
      </c>
      <c r="K5" s="15">
        <v>2</v>
      </c>
      <c r="L5" s="10" t="s">
        <v>468</v>
      </c>
      <c r="M5" s="15">
        <v>2</v>
      </c>
      <c r="N5" s="10" t="s">
        <v>469</v>
      </c>
      <c r="O5" s="15">
        <v>2</v>
      </c>
      <c r="P5" s="10" t="s">
        <v>470</v>
      </c>
      <c r="Q5" s="15">
        <v>2</v>
      </c>
      <c r="R5" s="10" t="s">
        <v>471</v>
      </c>
      <c r="S5" s="15">
        <v>12</v>
      </c>
      <c r="T5" s="11" t="s">
        <v>472</v>
      </c>
    </row>
    <row r="6" spans="1:20" ht="150" customHeight="1" x14ac:dyDescent="0.3">
      <c r="A6" s="11" t="s">
        <v>301</v>
      </c>
      <c r="B6" s="10" t="s">
        <v>302</v>
      </c>
      <c r="C6" s="11">
        <v>2021</v>
      </c>
      <c r="D6" s="11">
        <v>76</v>
      </c>
      <c r="E6" s="10" t="s">
        <v>164</v>
      </c>
      <c r="F6" s="10" t="s">
        <v>124</v>
      </c>
      <c r="G6" s="15">
        <v>2</v>
      </c>
      <c r="H6" s="10" t="s">
        <v>473</v>
      </c>
      <c r="I6" s="15">
        <v>2</v>
      </c>
      <c r="J6" s="10" t="s">
        <v>474</v>
      </c>
      <c r="K6" s="15">
        <v>2</v>
      </c>
      <c r="L6" s="10" t="s">
        <v>475</v>
      </c>
      <c r="M6" s="15">
        <v>2</v>
      </c>
      <c r="N6" s="10" t="s">
        <v>476</v>
      </c>
      <c r="O6" s="15">
        <v>2</v>
      </c>
      <c r="P6" s="10" t="s">
        <v>477</v>
      </c>
      <c r="Q6" s="15">
        <v>0</v>
      </c>
      <c r="R6" s="10" t="s">
        <v>478</v>
      </c>
      <c r="S6" s="15">
        <v>10</v>
      </c>
      <c r="T6" s="11" t="s">
        <v>472</v>
      </c>
    </row>
    <row r="7" spans="1:20" ht="150" customHeight="1" x14ac:dyDescent="0.3">
      <c r="A7" s="11" t="s">
        <v>397</v>
      </c>
      <c r="B7" s="10" t="s">
        <v>398</v>
      </c>
      <c r="C7" s="11">
        <v>2021</v>
      </c>
      <c r="D7" s="11">
        <v>77</v>
      </c>
      <c r="E7" s="10" t="s">
        <v>164</v>
      </c>
      <c r="F7" s="10" t="s">
        <v>124</v>
      </c>
      <c r="G7" s="15">
        <v>2</v>
      </c>
      <c r="H7" s="10" t="s">
        <v>479</v>
      </c>
      <c r="I7" s="15">
        <v>2</v>
      </c>
      <c r="J7" s="10" t="s">
        <v>480</v>
      </c>
      <c r="K7" s="15">
        <v>2</v>
      </c>
      <c r="L7" s="10" t="s">
        <v>481</v>
      </c>
      <c r="M7" s="15">
        <v>2</v>
      </c>
      <c r="N7" s="10" t="s">
        <v>482</v>
      </c>
      <c r="O7" s="15">
        <v>2</v>
      </c>
      <c r="P7" s="10" t="s">
        <v>483</v>
      </c>
      <c r="Q7" s="15">
        <v>0</v>
      </c>
      <c r="R7" s="10" t="s">
        <v>484</v>
      </c>
      <c r="S7" s="15">
        <v>10</v>
      </c>
      <c r="T7" s="11" t="s">
        <v>472</v>
      </c>
    </row>
    <row r="8" spans="1:20" ht="150" customHeight="1" x14ac:dyDescent="0.3">
      <c r="A8" s="11" t="s">
        <v>194</v>
      </c>
      <c r="B8" s="10" t="s">
        <v>195</v>
      </c>
      <c r="C8" s="11">
        <v>2021</v>
      </c>
      <c r="D8" s="11">
        <v>78</v>
      </c>
      <c r="E8" s="10" t="s">
        <v>164</v>
      </c>
      <c r="F8" s="10" t="s">
        <v>124</v>
      </c>
      <c r="G8" s="15">
        <v>2</v>
      </c>
      <c r="H8" s="10" t="s">
        <v>485</v>
      </c>
      <c r="I8" s="15">
        <v>2</v>
      </c>
      <c r="J8" s="10" t="s">
        <v>486</v>
      </c>
      <c r="K8" s="15">
        <v>0</v>
      </c>
      <c r="L8" s="10" t="s">
        <v>487</v>
      </c>
      <c r="M8" s="15">
        <v>1</v>
      </c>
      <c r="N8" s="10" t="s">
        <v>488</v>
      </c>
      <c r="O8" s="15">
        <v>1</v>
      </c>
      <c r="P8" s="10" t="s">
        <v>489</v>
      </c>
      <c r="Q8" s="15">
        <v>2</v>
      </c>
      <c r="R8" s="10" t="s">
        <v>490</v>
      </c>
      <c r="S8" s="15">
        <v>8</v>
      </c>
      <c r="T8" s="11" t="s">
        <v>491</v>
      </c>
    </row>
    <row r="9" spans="1:20" ht="150" customHeight="1" x14ac:dyDescent="0.3">
      <c r="A9" s="11" t="s">
        <v>149</v>
      </c>
      <c r="B9" s="10" t="s">
        <v>150</v>
      </c>
      <c r="C9" s="11">
        <v>2023</v>
      </c>
      <c r="D9" s="11">
        <v>79</v>
      </c>
      <c r="E9" s="10" t="s">
        <v>117</v>
      </c>
      <c r="F9" s="10" t="s">
        <v>124</v>
      </c>
      <c r="G9" s="15">
        <v>2</v>
      </c>
      <c r="H9" s="10" t="s">
        <v>492</v>
      </c>
      <c r="I9" s="15">
        <v>1</v>
      </c>
      <c r="J9" s="10" t="s">
        <v>493</v>
      </c>
      <c r="K9" s="15">
        <v>1</v>
      </c>
      <c r="L9" s="10" t="s">
        <v>494</v>
      </c>
      <c r="M9" s="15">
        <v>1</v>
      </c>
      <c r="N9" s="10" t="s">
        <v>495</v>
      </c>
      <c r="O9" s="15">
        <v>0</v>
      </c>
      <c r="P9" s="10" t="s">
        <v>496</v>
      </c>
      <c r="Q9" s="15">
        <v>2</v>
      </c>
      <c r="R9" s="10" t="s">
        <v>497</v>
      </c>
      <c r="S9" s="15">
        <v>7</v>
      </c>
      <c r="T9" s="11" t="s">
        <v>491</v>
      </c>
    </row>
    <row r="10" spans="1:20" ht="150" customHeight="1" x14ac:dyDescent="0.3">
      <c r="A10" s="11" t="s">
        <v>314</v>
      </c>
      <c r="B10" s="10" t="s">
        <v>315</v>
      </c>
      <c r="C10" s="11">
        <v>2022</v>
      </c>
      <c r="D10" s="11">
        <v>80</v>
      </c>
      <c r="E10" s="10" t="s">
        <v>164</v>
      </c>
      <c r="F10" s="10" t="s">
        <v>124</v>
      </c>
      <c r="G10" s="15">
        <v>1</v>
      </c>
      <c r="H10" s="10" t="s">
        <v>498</v>
      </c>
      <c r="I10" s="15">
        <v>2</v>
      </c>
      <c r="J10" s="10" t="s">
        <v>499</v>
      </c>
      <c r="K10" s="15">
        <v>2</v>
      </c>
      <c r="L10" s="10" t="s">
        <v>500</v>
      </c>
      <c r="M10" s="15">
        <v>0</v>
      </c>
      <c r="N10" s="10" t="s">
        <v>501</v>
      </c>
      <c r="O10" s="15">
        <v>1</v>
      </c>
      <c r="P10" s="10" t="s">
        <v>502</v>
      </c>
      <c r="Q10" s="15">
        <v>1</v>
      </c>
      <c r="R10" s="10" t="s">
        <v>503</v>
      </c>
      <c r="S10" s="15">
        <v>7</v>
      </c>
      <c r="T10" s="11" t="s">
        <v>491</v>
      </c>
    </row>
    <row r="11" spans="1:20" ht="150" customHeight="1" x14ac:dyDescent="0.3">
      <c r="A11" s="11" t="s">
        <v>119</v>
      </c>
      <c r="B11" s="10" t="s">
        <v>120</v>
      </c>
      <c r="C11" s="11">
        <v>2023</v>
      </c>
      <c r="D11" s="11">
        <v>44</v>
      </c>
      <c r="E11" s="10" t="s">
        <v>110</v>
      </c>
      <c r="F11" s="10" t="s">
        <v>124</v>
      </c>
      <c r="G11" s="15">
        <v>1</v>
      </c>
      <c r="H11" s="10" t="s">
        <v>504</v>
      </c>
      <c r="I11" s="15">
        <v>1</v>
      </c>
      <c r="J11" s="10" t="s">
        <v>505</v>
      </c>
      <c r="K11" s="15">
        <v>1</v>
      </c>
      <c r="L11" s="10" t="s">
        <v>506</v>
      </c>
      <c r="M11" s="15">
        <v>0</v>
      </c>
      <c r="N11" s="10" t="s">
        <v>507</v>
      </c>
      <c r="O11" s="15">
        <v>0</v>
      </c>
      <c r="P11" s="10" t="s">
        <v>508</v>
      </c>
      <c r="Q11" s="15">
        <v>2</v>
      </c>
      <c r="R11" s="10" t="s">
        <v>509</v>
      </c>
      <c r="S11" s="15">
        <v>5</v>
      </c>
      <c r="T11" s="11" t="s">
        <v>491</v>
      </c>
    </row>
    <row r="12" spans="1:20" ht="150" customHeight="1" x14ac:dyDescent="0.3">
      <c r="A12" s="11" t="s">
        <v>447</v>
      </c>
      <c r="B12" s="10" t="s">
        <v>448</v>
      </c>
      <c r="C12" s="11">
        <v>2022</v>
      </c>
      <c r="D12" s="11">
        <v>81</v>
      </c>
      <c r="E12" s="10" t="s">
        <v>164</v>
      </c>
      <c r="F12" s="10" t="s">
        <v>124</v>
      </c>
      <c r="G12" s="15">
        <v>1</v>
      </c>
      <c r="H12" s="10" t="s">
        <v>510</v>
      </c>
      <c r="I12" s="15">
        <v>1</v>
      </c>
      <c r="J12" s="10" t="s">
        <v>511</v>
      </c>
      <c r="K12" s="15">
        <v>0</v>
      </c>
      <c r="L12" s="10" t="s">
        <v>512</v>
      </c>
      <c r="M12" s="15">
        <v>1</v>
      </c>
      <c r="N12" s="10" t="s">
        <v>513</v>
      </c>
      <c r="O12" s="15">
        <v>0</v>
      </c>
      <c r="P12" s="10" t="s">
        <v>514</v>
      </c>
      <c r="Q12" s="15">
        <v>2</v>
      </c>
      <c r="R12" s="10" t="s">
        <v>515</v>
      </c>
      <c r="S12" s="15">
        <v>5</v>
      </c>
      <c r="T12" s="11" t="s">
        <v>491</v>
      </c>
    </row>
    <row r="13" spans="1:20" ht="150" customHeight="1" x14ac:dyDescent="0.3">
      <c r="A13" s="11" t="s">
        <v>372</v>
      </c>
      <c r="B13" s="10" t="s">
        <v>373</v>
      </c>
      <c r="C13" s="11">
        <v>2011</v>
      </c>
      <c r="D13" s="11">
        <v>83</v>
      </c>
      <c r="E13" s="10" t="s">
        <v>164</v>
      </c>
      <c r="F13" s="10" t="s">
        <v>124</v>
      </c>
      <c r="G13" s="15">
        <v>2</v>
      </c>
      <c r="H13" s="10" t="s">
        <v>516</v>
      </c>
      <c r="I13" s="15">
        <v>1</v>
      </c>
      <c r="J13" s="10" t="s">
        <v>517</v>
      </c>
      <c r="K13" s="15">
        <v>1</v>
      </c>
      <c r="L13" s="10" t="s">
        <v>518</v>
      </c>
      <c r="M13" s="15">
        <v>0</v>
      </c>
      <c r="N13" s="10" t="s">
        <v>519</v>
      </c>
      <c r="O13" s="15">
        <v>0</v>
      </c>
      <c r="P13" s="10" t="s">
        <v>520</v>
      </c>
      <c r="Q13" s="15">
        <v>0</v>
      </c>
      <c r="R13" s="10" t="s">
        <v>521</v>
      </c>
      <c r="S13" s="15">
        <v>4</v>
      </c>
      <c r="T13" s="11" t="s">
        <v>522</v>
      </c>
    </row>
    <row r="14" spans="1:20" ht="150" customHeight="1" x14ac:dyDescent="0.3">
      <c r="A14" s="11" t="s">
        <v>442</v>
      </c>
      <c r="B14" s="10" t="s">
        <v>443</v>
      </c>
      <c r="C14" s="11">
        <v>2019</v>
      </c>
      <c r="D14" s="11">
        <v>82</v>
      </c>
      <c r="E14" s="10" t="s">
        <v>164</v>
      </c>
      <c r="F14" s="10" t="s">
        <v>124</v>
      </c>
      <c r="G14" s="15">
        <v>1</v>
      </c>
      <c r="H14" s="10" t="s">
        <v>523</v>
      </c>
      <c r="I14" s="15">
        <v>1</v>
      </c>
      <c r="J14" s="10" t="s">
        <v>524</v>
      </c>
      <c r="K14" s="15">
        <v>1</v>
      </c>
      <c r="L14" s="10" t="s">
        <v>525</v>
      </c>
      <c r="M14" s="15">
        <v>0</v>
      </c>
      <c r="N14" s="10" t="s">
        <v>526</v>
      </c>
      <c r="O14" s="15">
        <v>0</v>
      </c>
      <c r="P14" s="10" t="s">
        <v>527</v>
      </c>
      <c r="Q14" s="15">
        <v>1</v>
      </c>
      <c r="R14" s="10" t="s">
        <v>528</v>
      </c>
      <c r="S14" s="15">
        <v>4</v>
      </c>
      <c r="T14" s="11" t="s">
        <v>522</v>
      </c>
    </row>
    <row r="15" spans="1:20" ht="150" customHeight="1" x14ac:dyDescent="0.3">
      <c r="A15" s="11" t="s">
        <v>438</v>
      </c>
      <c r="B15" s="10" t="s">
        <v>439</v>
      </c>
      <c r="C15" s="11">
        <v>2018</v>
      </c>
      <c r="D15" s="11">
        <v>84</v>
      </c>
      <c r="E15" s="10" t="s">
        <v>164</v>
      </c>
      <c r="F15" s="10" t="s">
        <v>124</v>
      </c>
      <c r="G15" s="15">
        <v>1</v>
      </c>
      <c r="H15" s="10" t="s">
        <v>529</v>
      </c>
      <c r="I15" s="15">
        <v>1</v>
      </c>
      <c r="J15" s="10" t="s">
        <v>530</v>
      </c>
      <c r="K15" s="15">
        <v>1</v>
      </c>
      <c r="L15" s="10" t="s">
        <v>531</v>
      </c>
      <c r="M15" s="15">
        <v>0</v>
      </c>
      <c r="N15" s="10" t="s">
        <v>532</v>
      </c>
      <c r="O15" s="15">
        <v>0</v>
      </c>
      <c r="P15" s="10" t="s">
        <v>533</v>
      </c>
      <c r="Q15" s="15">
        <v>0</v>
      </c>
      <c r="R15" s="10" t="s">
        <v>534</v>
      </c>
      <c r="S15" s="15">
        <v>3</v>
      </c>
      <c r="T15" s="11" t="s">
        <v>522</v>
      </c>
    </row>
    <row r="16" spans="1:20" ht="150" customHeight="1" x14ac:dyDescent="0.3">
      <c r="A16" s="11" t="s">
        <v>351</v>
      </c>
      <c r="B16" s="10" t="s">
        <v>120</v>
      </c>
      <c r="C16" s="11">
        <v>2014</v>
      </c>
      <c r="D16" s="11">
        <v>85</v>
      </c>
      <c r="E16" s="10" t="s">
        <v>164</v>
      </c>
      <c r="F16" s="10" t="s">
        <v>124</v>
      </c>
      <c r="G16" s="15">
        <v>1</v>
      </c>
      <c r="H16" s="10" t="s">
        <v>535</v>
      </c>
      <c r="I16" s="15">
        <v>1</v>
      </c>
      <c r="J16" s="10" t="s">
        <v>536</v>
      </c>
      <c r="K16" s="15">
        <v>0</v>
      </c>
      <c r="L16" s="10" t="s">
        <v>537</v>
      </c>
      <c r="M16" s="15">
        <v>0</v>
      </c>
      <c r="N16" s="10" t="s">
        <v>538</v>
      </c>
      <c r="O16" s="15">
        <v>0</v>
      </c>
      <c r="P16" s="10" t="s">
        <v>539</v>
      </c>
      <c r="Q16" s="15">
        <v>0</v>
      </c>
      <c r="R16" s="10" t="s">
        <v>540</v>
      </c>
      <c r="S16" s="15">
        <v>2</v>
      </c>
      <c r="T16" s="11" t="s">
        <v>522</v>
      </c>
    </row>
    <row r="17" spans="1:20" ht="150" customHeight="1" x14ac:dyDescent="0.3">
      <c r="A17" s="11" t="s">
        <v>377</v>
      </c>
      <c r="B17" s="10" t="s">
        <v>378</v>
      </c>
      <c r="C17" s="11">
        <v>2020</v>
      </c>
      <c r="D17" s="11">
        <v>86</v>
      </c>
      <c r="E17" s="10" t="s">
        <v>164</v>
      </c>
      <c r="F17" s="10" t="s">
        <v>111</v>
      </c>
      <c r="G17" s="15">
        <v>2</v>
      </c>
      <c r="H17" s="10" t="s">
        <v>541</v>
      </c>
      <c r="I17" s="15">
        <v>1</v>
      </c>
      <c r="J17" s="10" t="s">
        <v>542</v>
      </c>
      <c r="K17" s="15">
        <v>1</v>
      </c>
      <c r="L17" s="10" t="s">
        <v>543</v>
      </c>
      <c r="M17" s="15">
        <v>2</v>
      </c>
      <c r="N17" s="10" t="s">
        <v>544</v>
      </c>
      <c r="O17" s="15">
        <v>1</v>
      </c>
      <c r="P17" s="10" t="s">
        <v>545</v>
      </c>
      <c r="Q17" s="15">
        <v>1</v>
      </c>
      <c r="R17" s="10" t="s">
        <v>546</v>
      </c>
      <c r="S17" s="15">
        <v>8</v>
      </c>
      <c r="T17" s="11" t="s">
        <v>491</v>
      </c>
    </row>
    <row r="18" spans="1:20" ht="150" customHeight="1" x14ac:dyDescent="0.3">
      <c r="A18" s="11" t="s">
        <v>104</v>
      </c>
      <c r="B18" s="10" t="s">
        <v>105</v>
      </c>
      <c r="C18" s="11">
        <v>2020</v>
      </c>
      <c r="D18" s="11">
        <v>87</v>
      </c>
      <c r="E18" s="10" t="s">
        <v>110</v>
      </c>
      <c r="F18" s="10" t="s">
        <v>111</v>
      </c>
      <c r="G18" s="15">
        <v>1</v>
      </c>
      <c r="H18" s="23" t="s">
        <v>547</v>
      </c>
      <c r="I18" s="15">
        <v>1</v>
      </c>
      <c r="J18" s="23" t="s">
        <v>548</v>
      </c>
      <c r="K18" s="15">
        <v>1</v>
      </c>
      <c r="L18" s="23" t="s">
        <v>549</v>
      </c>
      <c r="M18" s="15">
        <v>2</v>
      </c>
      <c r="N18" s="23" t="s">
        <v>550</v>
      </c>
      <c r="O18" s="15">
        <v>1</v>
      </c>
      <c r="P18" s="23" t="s">
        <v>551</v>
      </c>
      <c r="Q18" s="15">
        <v>1</v>
      </c>
      <c r="R18" s="23" t="s">
        <v>552</v>
      </c>
      <c r="S18" s="15">
        <v>7</v>
      </c>
      <c r="T18" s="11" t="s">
        <v>491</v>
      </c>
    </row>
    <row r="19" spans="1:20" ht="150" customHeight="1" x14ac:dyDescent="0.3">
      <c r="A19" s="11" t="s">
        <v>332</v>
      </c>
      <c r="B19" s="10" t="s">
        <v>333</v>
      </c>
      <c r="C19" s="11">
        <v>2019</v>
      </c>
      <c r="D19" s="11">
        <v>88</v>
      </c>
      <c r="E19" s="10" t="s">
        <v>110</v>
      </c>
      <c r="F19" s="10" t="s">
        <v>111</v>
      </c>
      <c r="G19" s="15">
        <v>2</v>
      </c>
      <c r="H19" s="10" t="s">
        <v>553</v>
      </c>
      <c r="I19" s="15">
        <v>1</v>
      </c>
      <c r="J19" s="10" t="s">
        <v>554</v>
      </c>
      <c r="K19" s="15">
        <v>1</v>
      </c>
      <c r="L19" s="10" t="s">
        <v>555</v>
      </c>
      <c r="M19" s="15">
        <v>2</v>
      </c>
      <c r="N19" s="10" t="s">
        <v>556</v>
      </c>
      <c r="O19" s="15">
        <v>0</v>
      </c>
      <c r="P19" s="10" t="s">
        <v>557</v>
      </c>
      <c r="Q19" s="15">
        <v>1</v>
      </c>
      <c r="R19" s="10" t="s">
        <v>558</v>
      </c>
      <c r="S19" s="15">
        <v>7</v>
      </c>
      <c r="T19" s="11" t="s">
        <v>491</v>
      </c>
    </row>
    <row r="20" spans="1:20" ht="150" customHeight="1" x14ac:dyDescent="0.3">
      <c r="A20" s="11" t="s">
        <v>346</v>
      </c>
      <c r="B20" s="10" t="s">
        <v>347</v>
      </c>
      <c r="C20" s="11">
        <v>2017</v>
      </c>
      <c r="D20" s="11">
        <v>53</v>
      </c>
      <c r="E20" s="10" t="s">
        <v>164</v>
      </c>
      <c r="F20" s="10" t="s">
        <v>111</v>
      </c>
      <c r="G20" s="15">
        <v>2</v>
      </c>
      <c r="H20" s="10" t="s">
        <v>559</v>
      </c>
      <c r="I20" s="15">
        <v>1</v>
      </c>
      <c r="J20" s="10" t="s">
        <v>560</v>
      </c>
      <c r="K20" s="15">
        <v>1</v>
      </c>
      <c r="L20" s="10" t="s">
        <v>561</v>
      </c>
      <c r="M20" s="15">
        <v>2</v>
      </c>
      <c r="N20" s="10" t="s">
        <v>562</v>
      </c>
      <c r="O20" s="15">
        <v>1</v>
      </c>
      <c r="P20" s="10" t="s">
        <v>563</v>
      </c>
      <c r="Q20" s="15">
        <v>0</v>
      </c>
      <c r="R20" s="10" t="s">
        <v>564</v>
      </c>
      <c r="S20" s="15">
        <v>7</v>
      </c>
      <c r="T20" s="11" t="s">
        <v>491</v>
      </c>
    </row>
    <row r="21" spans="1:20" ht="150" customHeight="1" x14ac:dyDescent="0.3">
      <c r="A21" s="11" t="s">
        <v>360</v>
      </c>
      <c r="B21" s="10" t="s">
        <v>356</v>
      </c>
      <c r="C21" s="11">
        <v>2011</v>
      </c>
      <c r="D21" s="11">
        <v>89</v>
      </c>
      <c r="E21" s="10" t="s">
        <v>359</v>
      </c>
      <c r="F21" s="10" t="s">
        <v>111</v>
      </c>
      <c r="G21" s="15">
        <v>2</v>
      </c>
      <c r="H21" s="10" t="s">
        <v>565</v>
      </c>
      <c r="I21" s="15">
        <v>2</v>
      </c>
      <c r="J21" s="10" t="s">
        <v>566</v>
      </c>
      <c r="K21" s="15">
        <v>1</v>
      </c>
      <c r="L21" s="10" t="s">
        <v>567</v>
      </c>
      <c r="M21" s="15">
        <v>0</v>
      </c>
      <c r="N21" s="10" t="s">
        <v>568</v>
      </c>
      <c r="O21" s="15">
        <v>1</v>
      </c>
      <c r="P21" s="10" t="s">
        <v>569</v>
      </c>
      <c r="Q21" s="15">
        <v>0</v>
      </c>
      <c r="R21" s="10" t="s">
        <v>570</v>
      </c>
      <c r="S21" s="15">
        <v>6</v>
      </c>
      <c r="T21" s="11" t="s">
        <v>491</v>
      </c>
    </row>
    <row r="22" spans="1:20" ht="150" customHeight="1" x14ac:dyDescent="0.3">
      <c r="A22" s="11" t="s">
        <v>355</v>
      </c>
      <c r="B22" s="10" t="s">
        <v>356</v>
      </c>
      <c r="C22" s="11">
        <v>2014</v>
      </c>
      <c r="D22" s="11">
        <v>90</v>
      </c>
      <c r="E22" s="10" t="s">
        <v>359</v>
      </c>
      <c r="F22" s="10" t="s">
        <v>111</v>
      </c>
      <c r="G22" s="15">
        <v>1</v>
      </c>
      <c r="H22" s="10" t="s">
        <v>571</v>
      </c>
      <c r="I22" s="15">
        <v>2</v>
      </c>
      <c r="J22" s="10" t="s">
        <v>572</v>
      </c>
      <c r="K22" s="15">
        <v>1</v>
      </c>
      <c r="L22" s="10" t="s">
        <v>573</v>
      </c>
      <c r="M22" s="15">
        <v>0</v>
      </c>
      <c r="N22" s="10" t="s">
        <v>574</v>
      </c>
      <c r="O22" s="15">
        <v>1</v>
      </c>
      <c r="P22" s="10" t="s">
        <v>575</v>
      </c>
      <c r="Q22" s="15">
        <v>1</v>
      </c>
      <c r="R22" s="10" t="s">
        <v>576</v>
      </c>
      <c r="S22" s="15">
        <v>6</v>
      </c>
      <c r="T22" s="11" t="s">
        <v>491</v>
      </c>
    </row>
    <row r="23" spans="1:20" ht="150" customHeight="1" x14ac:dyDescent="0.3">
      <c r="A23" s="11" t="s">
        <v>274</v>
      </c>
      <c r="B23" s="10" t="s">
        <v>195</v>
      </c>
      <c r="C23" s="11">
        <v>2014</v>
      </c>
      <c r="D23" s="11">
        <v>55</v>
      </c>
      <c r="E23" s="10" t="s">
        <v>117</v>
      </c>
      <c r="F23" s="10" t="s">
        <v>111</v>
      </c>
      <c r="G23" s="15">
        <v>2</v>
      </c>
      <c r="H23" s="10" t="s">
        <v>577</v>
      </c>
      <c r="I23" s="15">
        <v>1</v>
      </c>
      <c r="J23" s="10" t="s">
        <v>578</v>
      </c>
      <c r="K23" s="15">
        <v>1</v>
      </c>
      <c r="L23" s="10" t="s">
        <v>579</v>
      </c>
      <c r="M23" s="15">
        <v>1</v>
      </c>
      <c r="N23" s="10" t="s">
        <v>580</v>
      </c>
      <c r="O23" s="15">
        <v>0</v>
      </c>
      <c r="P23" s="10" t="s">
        <v>581</v>
      </c>
      <c r="Q23" s="15">
        <v>0</v>
      </c>
      <c r="R23" s="10" t="s">
        <v>582</v>
      </c>
      <c r="S23" s="15">
        <v>5</v>
      </c>
      <c r="T23" s="11" t="s">
        <v>491</v>
      </c>
    </row>
    <row r="24" spans="1:20" ht="150" customHeight="1" x14ac:dyDescent="0.3">
      <c r="A24" s="11" t="s">
        <v>283</v>
      </c>
      <c r="B24" s="10" t="s">
        <v>284</v>
      </c>
      <c r="C24" s="11">
        <v>2024</v>
      </c>
      <c r="D24" s="11">
        <v>91</v>
      </c>
      <c r="E24" s="10" t="s">
        <v>170</v>
      </c>
      <c r="F24" s="10" t="s">
        <v>111</v>
      </c>
      <c r="G24" s="15">
        <v>1</v>
      </c>
      <c r="H24" s="10" t="s">
        <v>583</v>
      </c>
      <c r="I24" s="15">
        <v>1</v>
      </c>
      <c r="J24" s="10" t="s">
        <v>584</v>
      </c>
      <c r="K24" s="15">
        <v>2</v>
      </c>
      <c r="L24" s="10" t="s">
        <v>585</v>
      </c>
      <c r="M24" s="15">
        <v>0</v>
      </c>
      <c r="N24" s="10" t="s">
        <v>586</v>
      </c>
      <c r="O24" s="15">
        <v>1</v>
      </c>
      <c r="P24" s="10" t="s">
        <v>587</v>
      </c>
      <c r="Q24" s="15">
        <v>0</v>
      </c>
      <c r="R24" s="10" t="s">
        <v>588</v>
      </c>
      <c r="S24" s="15">
        <v>5</v>
      </c>
      <c r="T24" s="11" t="s">
        <v>491</v>
      </c>
    </row>
    <row r="25" spans="1:20" ht="150" customHeight="1" x14ac:dyDescent="0.3">
      <c r="A25" s="11" t="s">
        <v>309</v>
      </c>
      <c r="B25" s="10" t="s">
        <v>310</v>
      </c>
      <c r="C25" s="11">
        <v>2012</v>
      </c>
      <c r="D25" s="11">
        <v>92</v>
      </c>
      <c r="E25" s="10" t="s">
        <v>164</v>
      </c>
      <c r="F25" s="10" t="s">
        <v>111</v>
      </c>
      <c r="G25" s="15">
        <v>2</v>
      </c>
      <c r="H25" s="10" t="s">
        <v>589</v>
      </c>
      <c r="I25" s="15">
        <v>1</v>
      </c>
      <c r="J25" s="10" t="s">
        <v>590</v>
      </c>
      <c r="K25" s="15">
        <v>1</v>
      </c>
      <c r="L25" s="10" t="s">
        <v>591</v>
      </c>
      <c r="M25" s="15">
        <v>1</v>
      </c>
      <c r="N25" s="10" t="s">
        <v>592</v>
      </c>
      <c r="O25" s="15">
        <v>0</v>
      </c>
      <c r="P25" s="10" t="s">
        <v>593</v>
      </c>
      <c r="Q25" s="15">
        <v>0</v>
      </c>
      <c r="R25" s="10" t="s">
        <v>594</v>
      </c>
      <c r="S25" s="15">
        <v>5</v>
      </c>
      <c r="T25" s="11" t="s">
        <v>491</v>
      </c>
    </row>
    <row r="26" spans="1:20" ht="150" customHeight="1" x14ac:dyDescent="0.3">
      <c r="A26" s="11" t="s">
        <v>401</v>
      </c>
      <c r="B26" s="10" t="s">
        <v>402</v>
      </c>
      <c r="C26" s="11">
        <v>2012</v>
      </c>
      <c r="D26" s="11">
        <v>93</v>
      </c>
      <c r="E26" s="10" t="s">
        <v>170</v>
      </c>
      <c r="F26" s="10" t="s">
        <v>111</v>
      </c>
      <c r="G26" s="15">
        <v>2</v>
      </c>
      <c r="H26" s="10" t="s">
        <v>595</v>
      </c>
      <c r="I26" s="15">
        <v>1</v>
      </c>
      <c r="J26" s="10" t="s">
        <v>596</v>
      </c>
      <c r="K26" s="15">
        <v>1</v>
      </c>
      <c r="L26" s="10" t="s">
        <v>597</v>
      </c>
      <c r="M26" s="15">
        <v>1</v>
      </c>
      <c r="N26" s="10" t="s">
        <v>598</v>
      </c>
      <c r="O26" s="15">
        <v>0</v>
      </c>
      <c r="P26" s="10" t="s">
        <v>599</v>
      </c>
      <c r="Q26" s="15">
        <v>0</v>
      </c>
      <c r="R26" s="10" t="s">
        <v>600</v>
      </c>
      <c r="S26" s="15">
        <v>5</v>
      </c>
      <c r="T26" s="11" t="s">
        <v>491</v>
      </c>
    </row>
    <row r="27" spans="1:20" ht="150" customHeight="1" x14ac:dyDescent="0.3">
      <c r="A27" s="11" t="s">
        <v>270</v>
      </c>
      <c r="B27" s="10" t="s">
        <v>195</v>
      </c>
      <c r="C27" s="11">
        <v>2018</v>
      </c>
      <c r="D27" s="11">
        <v>94</v>
      </c>
      <c r="E27" s="10" t="s">
        <v>117</v>
      </c>
      <c r="F27" s="10" t="s">
        <v>111</v>
      </c>
      <c r="G27" s="15">
        <v>1</v>
      </c>
      <c r="H27" s="10" t="s">
        <v>601</v>
      </c>
      <c r="I27" s="15">
        <v>1</v>
      </c>
      <c r="J27" s="10" t="s">
        <v>602</v>
      </c>
      <c r="K27" s="15">
        <v>1</v>
      </c>
      <c r="L27" s="10" t="s">
        <v>603</v>
      </c>
      <c r="M27" s="15">
        <v>0</v>
      </c>
      <c r="N27" s="10" t="s">
        <v>604</v>
      </c>
      <c r="O27" s="15">
        <v>0</v>
      </c>
      <c r="P27" s="10" t="s">
        <v>605</v>
      </c>
      <c r="Q27" s="15">
        <v>0</v>
      </c>
      <c r="R27" s="10" t="s">
        <v>606</v>
      </c>
      <c r="S27" s="15">
        <v>3</v>
      </c>
      <c r="T27" s="11" t="s">
        <v>522</v>
      </c>
    </row>
    <row r="28" spans="1:20" ht="150" customHeight="1" x14ac:dyDescent="0.3">
      <c r="A28" s="11" t="s">
        <v>215</v>
      </c>
      <c r="B28" s="10" t="s">
        <v>216</v>
      </c>
      <c r="C28" s="11">
        <v>2013</v>
      </c>
      <c r="D28" s="11">
        <v>95</v>
      </c>
      <c r="E28" s="10" t="s">
        <v>170</v>
      </c>
      <c r="F28" s="10" t="s">
        <v>111</v>
      </c>
      <c r="G28" s="15">
        <v>1</v>
      </c>
      <c r="H28" s="10" t="s">
        <v>607</v>
      </c>
      <c r="I28" s="15">
        <v>0</v>
      </c>
      <c r="J28" s="10" t="s">
        <v>608</v>
      </c>
      <c r="K28" s="15">
        <v>0</v>
      </c>
      <c r="L28" s="10" t="s">
        <v>609</v>
      </c>
      <c r="M28" s="15">
        <v>0</v>
      </c>
      <c r="N28" s="10" t="s">
        <v>610</v>
      </c>
      <c r="O28" s="15">
        <v>0</v>
      </c>
      <c r="P28" s="10" t="s">
        <v>611</v>
      </c>
      <c r="Q28" s="15">
        <v>0</v>
      </c>
      <c r="R28" s="10" t="s">
        <v>612</v>
      </c>
      <c r="S28" s="15">
        <v>1</v>
      </c>
      <c r="T28" s="11" t="s">
        <v>522</v>
      </c>
    </row>
    <row r="29" spans="1:20" ht="150" customHeight="1" x14ac:dyDescent="0.3">
      <c r="A29" s="11" t="s">
        <v>236</v>
      </c>
      <c r="B29" s="10" t="s">
        <v>237</v>
      </c>
      <c r="C29" s="11">
        <v>2021</v>
      </c>
      <c r="D29" s="11">
        <v>96</v>
      </c>
      <c r="E29" s="10" t="s">
        <v>164</v>
      </c>
      <c r="F29" s="10" t="s">
        <v>118</v>
      </c>
      <c r="G29" s="15">
        <v>2</v>
      </c>
      <c r="H29" s="10" t="s">
        <v>613</v>
      </c>
      <c r="I29" s="15">
        <v>2</v>
      </c>
      <c r="J29" s="10" t="s">
        <v>614</v>
      </c>
      <c r="K29" s="15">
        <v>2</v>
      </c>
      <c r="L29" s="10" t="s">
        <v>615</v>
      </c>
      <c r="M29" s="15">
        <v>2</v>
      </c>
      <c r="N29" s="10" t="s">
        <v>616</v>
      </c>
      <c r="O29" s="15">
        <v>1</v>
      </c>
      <c r="P29" s="10" t="s">
        <v>617</v>
      </c>
      <c r="Q29" s="15">
        <v>2</v>
      </c>
      <c r="R29" s="10" t="s">
        <v>618</v>
      </c>
      <c r="S29" s="15">
        <v>11</v>
      </c>
      <c r="T29" s="11" t="s">
        <v>472</v>
      </c>
    </row>
    <row r="30" spans="1:20" ht="150" customHeight="1" x14ac:dyDescent="0.3">
      <c r="A30" s="11" t="s">
        <v>132</v>
      </c>
      <c r="B30" s="10" t="s">
        <v>133</v>
      </c>
      <c r="C30" s="11">
        <v>2023</v>
      </c>
      <c r="D30" s="11">
        <v>97</v>
      </c>
      <c r="E30" s="10" t="s">
        <v>110</v>
      </c>
      <c r="F30" s="10" t="s">
        <v>118</v>
      </c>
      <c r="G30" s="15">
        <v>2</v>
      </c>
      <c r="H30" s="10" t="s">
        <v>619</v>
      </c>
      <c r="I30" s="15">
        <v>1</v>
      </c>
      <c r="J30" s="10" t="s">
        <v>620</v>
      </c>
      <c r="K30" s="15">
        <v>1</v>
      </c>
      <c r="L30" s="10" t="s">
        <v>621</v>
      </c>
      <c r="M30" s="15">
        <v>2</v>
      </c>
      <c r="N30" s="10" t="s">
        <v>622</v>
      </c>
      <c r="O30" s="15">
        <v>2</v>
      </c>
      <c r="P30" s="10" t="s">
        <v>623</v>
      </c>
      <c r="Q30" s="15">
        <v>2</v>
      </c>
      <c r="R30" s="10" t="s">
        <v>624</v>
      </c>
      <c r="S30" s="15">
        <v>10</v>
      </c>
      <c r="T30" s="11" t="s">
        <v>472</v>
      </c>
    </row>
    <row r="31" spans="1:20" ht="150" customHeight="1" x14ac:dyDescent="0.3">
      <c r="A31" s="11" t="s">
        <v>144</v>
      </c>
      <c r="B31" s="10" t="s">
        <v>145</v>
      </c>
      <c r="C31" s="11">
        <v>2024</v>
      </c>
      <c r="D31" s="11">
        <v>14</v>
      </c>
      <c r="E31" s="10" t="s">
        <v>110</v>
      </c>
      <c r="F31" s="10" t="s">
        <v>118</v>
      </c>
      <c r="G31" s="15">
        <v>1</v>
      </c>
      <c r="H31" s="10" t="s">
        <v>625</v>
      </c>
      <c r="I31" s="15">
        <v>1</v>
      </c>
      <c r="J31" s="10" t="s">
        <v>626</v>
      </c>
      <c r="K31" s="15">
        <v>1</v>
      </c>
      <c r="L31" s="10" t="s">
        <v>627</v>
      </c>
      <c r="M31" s="15">
        <v>2</v>
      </c>
      <c r="N31" s="10" t="s">
        <v>628</v>
      </c>
      <c r="O31" s="15">
        <v>1</v>
      </c>
      <c r="P31" s="10" t="s">
        <v>629</v>
      </c>
      <c r="Q31" s="15">
        <v>2</v>
      </c>
      <c r="R31" s="10" t="s">
        <v>630</v>
      </c>
      <c r="S31" s="15">
        <v>8</v>
      </c>
      <c r="T31" s="11" t="s">
        <v>491</v>
      </c>
    </row>
    <row r="32" spans="1:20" ht="150" customHeight="1" x14ac:dyDescent="0.3">
      <c r="A32" s="11" t="s">
        <v>154</v>
      </c>
      <c r="B32" s="10" t="s">
        <v>155</v>
      </c>
      <c r="C32" s="11">
        <v>2026</v>
      </c>
      <c r="D32" s="11">
        <v>98</v>
      </c>
      <c r="E32" s="10" t="s">
        <v>110</v>
      </c>
      <c r="F32" s="10" t="s">
        <v>118</v>
      </c>
      <c r="G32" s="15">
        <v>1</v>
      </c>
      <c r="H32" s="10" t="s">
        <v>631</v>
      </c>
      <c r="I32" s="15">
        <v>1</v>
      </c>
      <c r="J32" s="10" t="s">
        <v>632</v>
      </c>
      <c r="K32" s="15">
        <v>2</v>
      </c>
      <c r="L32" s="10" t="s">
        <v>633</v>
      </c>
      <c r="M32" s="15">
        <v>0</v>
      </c>
      <c r="N32" s="10" t="s">
        <v>634</v>
      </c>
      <c r="O32" s="15">
        <v>0</v>
      </c>
      <c r="P32" s="10" t="s">
        <v>635</v>
      </c>
      <c r="Q32" s="15">
        <v>2</v>
      </c>
      <c r="R32" s="10" t="s">
        <v>636</v>
      </c>
      <c r="S32" s="15">
        <v>6</v>
      </c>
      <c r="T32" s="11" t="s">
        <v>491</v>
      </c>
    </row>
    <row r="33" spans="1:20" ht="150" customHeight="1" x14ac:dyDescent="0.3">
      <c r="A33" s="11" t="s">
        <v>159</v>
      </c>
      <c r="B33" s="10" t="s">
        <v>160</v>
      </c>
      <c r="C33" s="11">
        <v>2026</v>
      </c>
      <c r="D33" s="11">
        <v>99</v>
      </c>
      <c r="E33" s="10" t="s">
        <v>164</v>
      </c>
      <c r="F33" s="10" t="s">
        <v>118</v>
      </c>
      <c r="G33" s="15">
        <v>2</v>
      </c>
      <c r="H33" s="10" t="s">
        <v>637</v>
      </c>
      <c r="I33" s="15">
        <v>1</v>
      </c>
      <c r="J33" s="10" t="s">
        <v>638</v>
      </c>
      <c r="K33" s="15">
        <v>1</v>
      </c>
      <c r="L33" s="10" t="s">
        <v>639</v>
      </c>
      <c r="M33" s="15">
        <v>1</v>
      </c>
      <c r="N33" s="10" t="s">
        <v>640</v>
      </c>
      <c r="O33" s="15">
        <v>0</v>
      </c>
      <c r="P33" s="10" t="s">
        <v>641</v>
      </c>
      <c r="Q33" s="15">
        <v>0</v>
      </c>
      <c r="R33" s="10" t="s">
        <v>642</v>
      </c>
      <c r="S33" s="15">
        <v>5</v>
      </c>
      <c r="T33" s="11" t="s">
        <v>491</v>
      </c>
    </row>
    <row r="34" spans="1:20" ht="150" customHeight="1" x14ac:dyDescent="0.3">
      <c r="A34" s="11" t="s">
        <v>172</v>
      </c>
      <c r="B34" s="10" t="s">
        <v>173</v>
      </c>
      <c r="C34" s="11">
        <v>2015</v>
      </c>
      <c r="D34" s="11">
        <v>100</v>
      </c>
      <c r="E34" s="10" t="s">
        <v>164</v>
      </c>
      <c r="F34" s="10" t="s">
        <v>118</v>
      </c>
      <c r="G34" s="15">
        <v>2</v>
      </c>
      <c r="H34" s="10" t="s">
        <v>643</v>
      </c>
      <c r="I34" s="15">
        <v>1</v>
      </c>
      <c r="J34" s="10" t="s">
        <v>644</v>
      </c>
      <c r="K34" s="15">
        <v>1</v>
      </c>
      <c r="L34" s="10" t="s">
        <v>645</v>
      </c>
      <c r="M34" s="15">
        <v>1</v>
      </c>
      <c r="N34" s="10" t="s">
        <v>646</v>
      </c>
      <c r="O34" s="15">
        <v>0</v>
      </c>
      <c r="P34" s="10" t="s">
        <v>647</v>
      </c>
      <c r="Q34" s="15">
        <v>0</v>
      </c>
      <c r="R34" s="10" t="s">
        <v>648</v>
      </c>
      <c r="S34" s="15">
        <v>5</v>
      </c>
      <c r="T34" s="11" t="s">
        <v>491</v>
      </c>
    </row>
    <row r="35" spans="1:20" ht="150" customHeight="1" x14ac:dyDescent="0.3">
      <c r="A35" s="11" t="s">
        <v>419</v>
      </c>
      <c r="B35" s="10" t="s">
        <v>420</v>
      </c>
      <c r="C35" s="11">
        <v>2020</v>
      </c>
      <c r="D35" s="11">
        <v>101</v>
      </c>
      <c r="E35" s="10" t="s">
        <v>164</v>
      </c>
      <c r="F35" s="10" t="s">
        <v>118</v>
      </c>
      <c r="G35" s="15">
        <v>1</v>
      </c>
      <c r="H35" s="10" t="s">
        <v>649</v>
      </c>
      <c r="I35" s="15">
        <v>1</v>
      </c>
      <c r="J35" s="10" t="s">
        <v>650</v>
      </c>
      <c r="K35" s="15">
        <v>0</v>
      </c>
      <c r="L35" s="10" t="s">
        <v>651</v>
      </c>
      <c r="M35" s="15">
        <v>0</v>
      </c>
      <c r="N35" s="10" t="s">
        <v>652</v>
      </c>
      <c r="O35" s="15">
        <v>1</v>
      </c>
      <c r="P35" s="10" t="s">
        <v>653</v>
      </c>
      <c r="Q35" s="15">
        <v>2</v>
      </c>
      <c r="R35" s="10" t="s">
        <v>654</v>
      </c>
      <c r="S35" s="15">
        <v>5</v>
      </c>
      <c r="T35" s="11" t="s">
        <v>491</v>
      </c>
    </row>
    <row r="36" spans="1:20" ht="150" customHeight="1" x14ac:dyDescent="0.3">
      <c r="A36" s="11" t="s">
        <v>112</v>
      </c>
      <c r="B36" s="10" t="s">
        <v>113</v>
      </c>
      <c r="C36" s="11">
        <v>2019</v>
      </c>
      <c r="D36" s="11">
        <v>102</v>
      </c>
      <c r="E36" s="10" t="s">
        <v>117</v>
      </c>
      <c r="F36" s="10" t="s">
        <v>118</v>
      </c>
      <c r="G36" s="15">
        <v>1</v>
      </c>
      <c r="H36" s="10" t="s">
        <v>655</v>
      </c>
      <c r="I36" s="15">
        <v>1</v>
      </c>
      <c r="J36" s="10" t="s">
        <v>656</v>
      </c>
      <c r="K36" s="15">
        <v>1</v>
      </c>
      <c r="L36" s="10" t="s">
        <v>657</v>
      </c>
      <c r="M36" s="15">
        <v>0</v>
      </c>
      <c r="N36" s="10" t="s">
        <v>658</v>
      </c>
      <c r="O36" s="15">
        <v>0</v>
      </c>
      <c r="P36" s="10" t="s">
        <v>659</v>
      </c>
      <c r="Q36" s="15">
        <v>1</v>
      </c>
      <c r="R36" s="10" t="s">
        <v>660</v>
      </c>
      <c r="S36" s="15">
        <v>4</v>
      </c>
      <c r="T36" s="11" t="s">
        <v>522</v>
      </c>
    </row>
    <row r="37" spans="1:20" ht="150" customHeight="1" x14ac:dyDescent="0.3">
      <c r="A37" s="11" t="s">
        <v>288</v>
      </c>
      <c r="B37" s="10" t="s">
        <v>289</v>
      </c>
      <c r="C37" s="11">
        <v>2015</v>
      </c>
      <c r="D37" s="11">
        <v>103</v>
      </c>
      <c r="E37" s="10" t="s">
        <v>164</v>
      </c>
      <c r="F37" s="10" t="s">
        <v>118</v>
      </c>
      <c r="G37" s="15">
        <v>1</v>
      </c>
      <c r="H37" s="10" t="s">
        <v>661</v>
      </c>
      <c r="I37" s="15">
        <v>1</v>
      </c>
      <c r="J37" s="10" t="s">
        <v>662</v>
      </c>
      <c r="K37" s="15">
        <v>0</v>
      </c>
      <c r="L37" s="10" t="s">
        <v>663</v>
      </c>
      <c r="M37" s="15">
        <v>0</v>
      </c>
      <c r="N37" s="10" t="s">
        <v>664</v>
      </c>
      <c r="O37" s="15">
        <v>0</v>
      </c>
      <c r="P37" s="10" t="s">
        <v>665</v>
      </c>
      <c r="Q37" s="15">
        <v>0</v>
      </c>
      <c r="R37" s="10" t="s">
        <v>600</v>
      </c>
      <c r="S37" s="15">
        <v>2</v>
      </c>
      <c r="T37" s="11" t="s">
        <v>522</v>
      </c>
    </row>
    <row r="38" spans="1:20" ht="150" customHeight="1" x14ac:dyDescent="0.3">
      <c r="A38" s="11" t="s">
        <v>245</v>
      </c>
      <c r="B38" s="10" t="s">
        <v>178</v>
      </c>
      <c r="C38" s="11">
        <v>2024</v>
      </c>
      <c r="D38" s="11">
        <v>104</v>
      </c>
      <c r="E38" s="10" t="s">
        <v>170</v>
      </c>
      <c r="F38" s="10" t="s">
        <v>171</v>
      </c>
      <c r="G38" s="15">
        <v>2</v>
      </c>
      <c r="H38" s="10" t="s">
        <v>666</v>
      </c>
      <c r="I38" s="15">
        <v>1</v>
      </c>
      <c r="J38" s="10" t="s">
        <v>667</v>
      </c>
      <c r="K38" s="15">
        <v>1</v>
      </c>
      <c r="L38" s="10" t="s">
        <v>668</v>
      </c>
      <c r="M38" s="15">
        <v>2</v>
      </c>
      <c r="N38" s="10" t="s">
        <v>669</v>
      </c>
      <c r="O38" s="15">
        <v>1</v>
      </c>
      <c r="P38" s="10" t="s">
        <v>670</v>
      </c>
      <c r="Q38" s="15">
        <v>0</v>
      </c>
      <c r="R38" s="10" t="s">
        <v>671</v>
      </c>
      <c r="S38" s="15">
        <v>7</v>
      </c>
      <c r="T38" s="11" t="s">
        <v>491</v>
      </c>
    </row>
    <row r="39" spans="1:20" ht="150" customHeight="1" x14ac:dyDescent="0.3">
      <c r="A39" s="11" t="s">
        <v>298</v>
      </c>
      <c r="B39" s="10" t="s">
        <v>205</v>
      </c>
      <c r="C39" s="11">
        <v>2021</v>
      </c>
      <c r="D39" s="11">
        <v>105</v>
      </c>
      <c r="E39" s="10" t="s">
        <v>170</v>
      </c>
      <c r="F39" s="10" t="s">
        <v>171</v>
      </c>
      <c r="G39" s="15">
        <v>2</v>
      </c>
      <c r="H39" s="10" t="s">
        <v>672</v>
      </c>
      <c r="I39" s="15">
        <v>2</v>
      </c>
      <c r="J39" s="10" t="s">
        <v>673</v>
      </c>
      <c r="K39" s="15">
        <v>0</v>
      </c>
      <c r="L39" s="10" t="s">
        <v>674</v>
      </c>
      <c r="M39" s="15">
        <v>1</v>
      </c>
      <c r="N39" s="10" t="s">
        <v>675</v>
      </c>
      <c r="O39" s="15">
        <v>0</v>
      </c>
      <c r="P39" s="10" t="s">
        <v>676</v>
      </c>
      <c r="Q39" s="15">
        <v>1</v>
      </c>
      <c r="R39" s="10" t="s">
        <v>677</v>
      </c>
      <c r="S39" s="15">
        <v>6</v>
      </c>
      <c r="T39" s="11" t="s">
        <v>491</v>
      </c>
    </row>
    <row r="40" spans="1:20" ht="150" customHeight="1" x14ac:dyDescent="0.3">
      <c r="A40" s="11" t="s">
        <v>165</v>
      </c>
      <c r="B40" s="10" t="s">
        <v>166</v>
      </c>
      <c r="C40" s="11">
        <v>2024</v>
      </c>
      <c r="D40" s="11">
        <v>106</v>
      </c>
      <c r="E40" s="10" t="s">
        <v>170</v>
      </c>
      <c r="F40" s="10" t="s">
        <v>171</v>
      </c>
      <c r="G40" s="15">
        <v>2</v>
      </c>
      <c r="H40" s="10" t="s">
        <v>678</v>
      </c>
      <c r="I40" s="15">
        <v>1</v>
      </c>
      <c r="J40" s="10" t="s">
        <v>679</v>
      </c>
      <c r="K40" s="15">
        <v>1</v>
      </c>
      <c r="L40" s="10" t="s">
        <v>680</v>
      </c>
      <c r="M40" s="15">
        <v>0</v>
      </c>
      <c r="N40" s="10" t="s">
        <v>681</v>
      </c>
      <c r="O40" s="15">
        <v>0</v>
      </c>
      <c r="P40" s="10" t="s">
        <v>682</v>
      </c>
      <c r="Q40" s="15">
        <v>1</v>
      </c>
      <c r="R40" s="10" t="s">
        <v>683</v>
      </c>
      <c r="S40" s="15">
        <v>5</v>
      </c>
      <c r="T40" s="11" t="s">
        <v>491</v>
      </c>
    </row>
    <row r="41" spans="1:20" ht="150" customHeight="1" x14ac:dyDescent="0.3">
      <c r="A41" s="11" t="s">
        <v>177</v>
      </c>
      <c r="B41" s="10" t="s">
        <v>178</v>
      </c>
      <c r="C41" s="11">
        <v>2024</v>
      </c>
      <c r="D41" s="11">
        <v>107</v>
      </c>
      <c r="E41" s="10" t="s">
        <v>170</v>
      </c>
      <c r="F41" s="10" t="s">
        <v>171</v>
      </c>
      <c r="G41" s="15">
        <v>2</v>
      </c>
      <c r="H41" s="10" t="s">
        <v>684</v>
      </c>
      <c r="I41" s="15">
        <v>1</v>
      </c>
      <c r="J41" s="10" t="s">
        <v>685</v>
      </c>
      <c r="K41" s="15">
        <v>1</v>
      </c>
      <c r="L41" s="10" t="s">
        <v>686</v>
      </c>
      <c r="M41" s="15">
        <v>1</v>
      </c>
      <c r="N41" s="10" t="s">
        <v>687</v>
      </c>
      <c r="O41" s="15">
        <v>0</v>
      </c>
      <c r="P41" s="10" t="s">
        <v>688</v>
      </c>
      <c r="Q41" s="15">
        <v>0</v>
      </c>
      <c r="R41" s="10" t="s">
        <v>689</v>
      </c>
      <c r="S41" s="15">
        <v>5</v>
      </c>
      <c r="T41" s="11" t="s">
        <v>491</v>
      </c>
    </row>
    <row r="42" spans="1:20" ht="150" customHeight="1" x14ac:dyDescent="0.3">
      <c r="A42" s="11" t="s">
        <v>241</v>
      </c>
      <c r="B42" s="10" t="s">
        <v>178</v>
      </c>
      <c r="C42" s="11">
        <v>2025</v>
      </c>
      <c r="D42" s="11">
        <v>108</v>
      </c>
      <c r="E42" s="10" t="s">
        <v>170</v>
      </c>
      <c r="F42" s="10" t="s">
        <v>171</v>
      </c>
      <c r="G42" s="15">
        <v>1</v>
      </c>
      <c r="H42" s="10" t="s">
        <v>690</v>
      </c>
      <c r="I42" s="15">
        <v>1</v>
      </c>
      <c r="J42" s="10" t="s">
        <v>691</v>
      </c>
      <c r="K42" s="15">
        <v>0</v>
      </c>
      <c r="L42" s="10" t="s">
        <v>692</v>
      </c>
      <c r="M42" s="15">
        <v>1</v>
      </c>
      <c r="N42" s="10" t="s">
        <v>693</v>
      </c>
      <c r="O42" s="15">
        <v>0</v>
      </c>
      <c r="P42" s="10" t="s">
        <v>694</v>
      </c>
      <c r="Q42" s="15">
        <v>0</v>
      </c>
      <c r="R42" s="10" t="s">
        <v>695</v>
      </c>
      <c r="S42" s="15">
        <v>3</v>
      </c>
      <c r="T42" s="11" t="s">
        <v>522</v>
      </c>
    </row>
    <row r="43" spans="1:20" ht="150" customHeight="1" x14ac:dyDescent="0.3">
      <c r="A43" s="11" t="s">
        <v>392</v>
      </c>
      <c r="B43" s="10" t="s">
        <v>393</v>
      </c>
      <c r="C43" s="11">
        <v>2016</v>
      </c>
      <c r="D43" s="11">
        <v>109</v>
      </c>
      <c r="E43" s="10" t="s">
        <v>164</v>
      </c>
      <c r="F43" s="10" t="s">
        <v>254</v>
      </c>
      <c r="G43" s="15">
        <v>1</v>
      </c>
      <c r="H43" s="10" t="s">
        <v>696</v>
      </c>
      <c r="I43" s="15">
        <v>2</v>
      </c>
      <c r="J43" s="10" t="s">
        <v>697</v>
      </c>
      <c r="K43" s="15">
        <v>2</v>
      </c>
      <c r="L43" s="10" t="s">
        <v>698</v>
      </c>
      <c r="M43" s="15">
        <v>2</v>
      </c>
      <c r="N43" s="10" t="s">
        <v>699</v>
      </c>
      <c r="O43" s="15">
        <v>1</v>
      </c>
      <c r="P43" s="10" t="s">
        <v>700</v>
      </c>
      <c r="Q43" s="15">
        <v>0</v>
      </c>
      <c r="R43" s="10" t="s">
        <v>701</v>
      </c>
      <c r="S43" s="15">
        <v>8</v>
      </c>
      <c r="T43" s="11" t="s">
        <v>491</v>
      </c>
    </row>
    <row r="44" spans="1:20" ht="150" customHeight="1" x14ac:dyDescent="0.3">
      <c r="A44" s="11" t="s">
        <v>249</v>
      </c>
      <c r="B44" s="10" t="s">
        <v>250</v>
      </c>
      <c r="C44" s="11">
        <v>2022</v>
      </c>
      <c r="D44" s="11">
        <v>110</v>
      </c>
      <c r="E44" s="10" t="s">
        <v>170</v>
      </c>
      <c r="F44" s="10" t="s">
        <v>254</v>
      </c>
      <c r="G44" s="15">
        <v>2</v>
      </c>
      <c r="H44" s="10" t="s">
        <v>702</v>
      </c>
      <c r="I44" s="15">
        <v>1</v>
      </c>
      <c r="J44" s="10" t="s">
        <v>703</v>
      </c>
      <c r="K44" s="15">
        <v>1</v>
      </c>
      <c r="L44" s="10" t="s">
        <v>704</v>
      </c>
      <c r="M44" s="15">
        <v>0</v>
      </c>
      <c r="N44" s="10" t="s">
        <v>705</v>
      </c>
      <c r="O44" s="15">
        <v>0</v>
      </c>
      <c r="P44" s="10" t="s">
        <v>706</v>
      </c>
      <c r="Q44" s="15">
        <v>0</v>
      </c>
      <c r="R44" s="10" t="s">
        <v>707</v>
      </c>
      <c r="S44" s="15">
        <v>4</v>
      </c>
      <c r="T44" s="11" t="s">
        <v>522</v>
      </c>
    </row>
    <row r="45" spans="1:20" ht="150" customHeight="1" x14ac:dyDescent="0.3">
      <c r="A45" s="11" t="s">
        <v>328</v>
      </c>
      <c r="B45" s="10" t="s">
        <v>329</v>
      </c>
      <c r="C45" s="11">
        <v>2022</v>
      </c>
      <c r="D45" s="11">
        <v>111</v>
      </c>
      <c r="E45" s="10" t="s">
        <v>164</v>
      </c>
      <c r="F45" s="10" t="s">
        <v>254</v>
      </c>
      <c r="G45" s="15">
        <v>1</v>
      </c>
      <c r="H45" s="10" t="s">
        <v>708</v>
      </c>
      <c r="I45" s="15">
        <v>1</v>
      </c>
      <c r="J45" s="10" t="s">
        <v>709</v>
      </c>
      <c r="K45" s="15">
        <v>1</v>
      </c>
      <c r="L45" s="10" t="s">
        <v>710</v>
      </c>
      <c r="M45" s="15">
        <v>0</v>
      </c>
      <c r="N45" s="10" t="s">
        <v>711</v>
      </c>
      <c r="O45" s="15">
        <v>0</v>
      </c>
      <c r="P45" s="10" t="s">
        <v>712</v>
      </c>
      <c r="Q45" s="15">
        <v>0</v>
      </c>
      <c r="R45" s="10" t="s">
        <v>713</v>
      </c>
      <c r="S45" s="15">
        <v>3</v>
      </c>
      <c r="T45" s="11" t="s">
        <v>522</v>
      </c>
    </row>
  </sheetData>
  <autoFilter ref="A4:T4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6"/>
  <sheetViews>
    <sheetView showGridLines="0" zoomScaleNormal="100" workbookViewId="0">
      <pane xSplit="2" ySplit="4" topLeftCell="C5" activePane="bottomRight" state="frozen"/>
      <selection pane="topRight" activeCell="C1" sqref="C1"/>
      <selection pane="bottomLeft" activeCell="A5" sqref="A5"/>
      <selection pane="bottomRight" activeCell="G38" sqref="G38"/>
    </sheetView>
  </sheetViews>
  <sheetFormatPr defaultColWidth="8.6640625" defaultRowHeight="14.4" x14ac:dyDescent="0.3"/>
  <cols>
    <col min="1" max="1" width="25.5546875" customWidth="1"/>
    <col min="2" max="2" width="6" style="24" customWidth="1"/>
    <col min="3" max="3" width="62" customWidth="1"/>
    <col min="4" max="4" width="58" customWidth="1"/>
  </cols>
  <sheetData>
    <row r="1" spans="1:4" ht="15" customHeight="1" x14ac:dyDescent="0.3">
      <c r="A1" s="7" t="s">
        <v>714</v>
      </c>
    </row>
    <row r="2" spans="1:4" ht="72.75" customHeight="1" x14ac:dyDescent="0.3">
      <c r="A2" s="8" t="s">
        <v>715</v>
      </c>
    </row>
    <row r="4" spans="1:4" ht="14.25" customHeight="1" x14ac:dyDescent="0.3">
      <c r="A4" s="9" t="s">
        <v>716</v>
      </c>
      <c r="B4" s="9" t="s">
        <v>44</v>
      </c>
      <c r="C4" s="9" t="s">
        <v>717</v>
      </c>
      <c r="D4" s="9" t="s">
        <v>718</v>
      </c>
    </row>
    <row r="5" spans="1:4" ht="14.25" customHeight="1" x14ac:dyDescent="0.3">
      <c r="A5" s="25" t="s">
        <v>719</v>
      </c>
      <c r="B5" s="11" t="s">
        <v>720</v>
      </c>
      <c r="C5" s="10" t="s">
        <v>721</v>
      </c>
      <c r="D5" s="10" t="s">
        <v>722</v>
      </c>
    </row>
    <row r="6" spans="1:4" ht="14.25" customHeight="1" x14ac:dyDescent="0.3">
      <c r="A6" s="25" t="s">
        <v>723</v>
      </c>
      <c r="B6" s="11" t="s">
        <v>724</v>
      </c>
      <c r="C6" s="10" t="s">
        <v>725</v>
      </c>
      <c r="D6" s="10" t="s">
        <v>726</v>
      </c>
    </row>
    <row r="7" spans="1:4" ht="24" customHeight="1" x14ac:dyDescent="0.3">
      <c r="A7" s="25" t="s">
        <v>727</v>
      </c>
      <c r="B7" s="11" t="s">
        <v>728</v>
      </c>
      <c r="C7" s="10" t="s">
        <v>729</v>
      </c>
      <c r="D7" s="10" t="s">
        <v>730</v>
      </c>
    </row>
    <row r="8" spans="1:4" ht="14.25" customHeight="1" x14ac:dyDescent="0.3">
      <c r="A8" s="10" t="s">
        <v>731</v>
      </c>
      <c r="B8" s="11" t="s">
        <v>732</v>
      </c>
      <c r="C8" s="10" t="s">
        <v>733</v>
      </c>
      <c r="D8" s="10" t="s">
        <v>734</v>
      </c>
    </row>
    <row r="9" spans="1:4" ht="24" customHeight="1" x14ac:dyDescent="0.3">
      <c r="A9" s="25" t="s">
        <v>735</v>
      </c>
      <c r="B9" s="11" t="s">
        <v>736</v>
      </c>
      <c r="C9" s="10" t="s">
        <v>737</v>
      </c>
      <c r="D9" s="10" t="s">
        <v>738</v>
      </c>
    </row>
    <row r="10" spans="1:4" ht="14.25" customHeight="1" x14ac:dyDescent="0.3">
      <c r="A10" s="10" t="s">
        <v>739</v>
      </c>
      <c r="B10" s="11" t="s">
        <v>740</v>
      </c>
      <c r="C10" s="10" t="s">
        <v>741</v>
      </c>
      <c r="D10" s="10" t="s">
        <v>742</v>
      </c>
    </row>
    <row r="11" spans="1:4" ht="14.25" customHeight="1" x14ac:dyDescent="0.3">
      <c r="A11" s="10" t="s">
        <v>743</v>
      </c>
      <c r="B11" s="11" t="s">
        <v>744</v>
      </c>
      <c r="C11" s="10" t="s">
        <v>745</v>
      </c>
      <c r="D11" s="10" t="s">
        <v>746</v>
      </c>
    </row>
    <row r="12" spans="1:4" ht="21.75" customHeight="1" x14ac:dyDescent="0.3">
      <c r="A12" s="10" t="s">
        <v>747</v>
      </c>
      <c r="B12" s="11" t="s">
        <v>748</v>
      </c>
      <c r="C12" s="10" t="s">
        <v>749</v>
      </c>
      <c r="D12" s="10" t="s">
        <v>750</v>
      </c>
    </row>
    <row r="13" spans="1:4" ht="14.25" customHeight="1" x14ac:dyDescent="0.3">
      <c r="A13" s="10" t="s">
        <v>751</v>
      </c>
      <c r="B13" s="11" t="s">
        <v>752</v>
      </c>
      <c r="C13" s="10" t="s">
        <v>753</v>
      </c>
      <c r="D13" s="10" t="s">
        <v>754</v>
      </c>
    </row>
    <row r="14" spans="1:4" ht="22.5" customHeight="1" x14ac:dyDescent="0.3">
      <c r="A14" s="10" t="s">
        <v>755</v>
      </c>
      <c r="B14" s="11" t="s">
        <v>756</v>
      </c>
      <c r="C14" s="10" t="s">
        <v>757</v>
      </c>
      <c r="D14" s="10" t="s">
        <v>758</v>
      </c>
    </row>
    <row r="15" spans="1:4" ht="14.25" customHeight="1" x14ac:dyDescent="0.3">
      <c r="A15" s="10"/>
      <c r="B15" s="11" t="s">
        <v>759</v>
      </c>
      <c r="C15" s="10" t="s">
        <v>760</v>
      </c>
      <c r="D15" s="10" t="s">
        <v>761</v>
      </c>
    </row>
    <row r="16" spans="1:4" ht="22.5" customHeight="1" x14ac:dyDescent="0.3">
      <c r="A16" s="10" t="s">
        <v>762</v>
      </c>
      <c r="B16" s="11" t="s">
        <v>763</v>
      </c>
      <c r="C16" s="10" t="s">
        <v>764</v>
      </c>
      <c r="D16" s="10" t="s">
        <v>765</v>
      </c>
    </row>
    <row r="17" spans="1:4" ht="22.5" customHeight="1" x14ac:dyDescent="0.3">
      <c r="A17" s="10" t="s">
        <v>766</v>
      </c>
      <c r="B17" s="11" t="s">
        <v>767</v>
      </c>
      <c r="C17" s="10" t="s">
        <v>768</v>
      </c>
      <c r="D17" s="10" t="s">
        <v>769</v>
      </c>
    </row>
    <row r="18" spans="1:4" ht="14.25" customHeight="1" x14ac:dyDescent="0.3">
      <c r="A18" s="10" t="s">
        <v>770</v>
      </c>
      <c r="B18" s="11" t="s">
        <v>771</v>
      </c>
      <c r="C18" s="10" t="s">
        <v>772</v>
      </c>
      <c r="D18" s="10" t="s">
        <v>773</v>
      </c>
    </row>
    <row r="19" spans="1:4" ht="14.25" customHeight="1" x14ac:dyDescent="0.3">
      <c r="A19" s="10"/>
      <c r="B19" s="11" t="s">
        <v>774</v>
      </c>
      <c r="C19" s="10" t="s">
        <v>775</v>
      </c>
      <c r="D19" s="10" t="s">
        <v>776</v>
      </c>
    </row>
    <row r="20" spans="1:4" ht="14.25" customHeight="1" x14ac:dyDescent="0.3">
      <c r="A20" s="10"/>
      <c r="B20" s="11" t="s">
        <v>777</v>
      </c>
      <c r="C20" s="10" t="s">
        <v>778</v>
      </c>
      <c r="D20" s="10" t="s">
        <v>779</v>
      </c>
    </row>
    <row r="21" spans="1:4" ht="22.5" customHeight="1" x14ac:dyDescent="0.3">
      <c r="A21" s="10"/>
      <c r="B21" s="11" t="s">
        <v>780</v>
      </c>
      <c r="C21" s="10" t="s">
        <v>781</v>
      </c>
      <c r="D21" s="10" t="s">
        <v>782</v>
      </c>
    </row>
    <row r="22" spans="1:4" ht="22.5" customHeight="1" x14ac:dyDescent="0.3">
      <c r="A22" s="10"/>
      <c r="B22" s="11" t="s">
        <v>783</v>
      </c>
      <c r="C22" s="10" t="s">
        <v>784</v>
      </c>
      <c r="D22" s="10" t="s">
        <v>785</v>
      </c>
    </row>
    <row r="23" spans="1:4" ht="14.25" customHeight="1" x14ac:dyDescent="0.3">
      <c r="A23" s="10"/>
      <c r="B23" s="11" t="s">
        <v>786</v>
      </c>
      <c r="C23" s="10" t="s">
        <v>787</v>
      </c>
      <c r="D23" s="10" t="s">
        <v>788</v>
      </c>
    </row>
    <row r="24" spans="1:4" ht="14.25" customHeight="1" x14ac:dyDescent="0.3">
      <c r="A24" s="10" t="s">
        <v>789</v>
      </c>
      <c r="B24" s="11" t="s">
        <v>790</v>
      </c>
      <c r="C24" s="10" t="s">
        <v>791</v>
      </c>
      <c r="D24" s="10" t="s">
        <v>792</v>
      </c>
    </row>
    <row r="25" spans="1:4" ht="22.5" customHeight="1" x14ac:dyDescent="0.3">
      <c r="A25" s="10" t="s">
        <v>793</v>
      </c>
      <c r="B25" s="11" t="s">
        <v>794</v>
      </c>
      <c r="C25" s="10" t="s">
        <v>795</v>
      </c>
      <c r="D25" s="10" t="s">
        <v>796</v>
      </c>
    </row>
    <row r="26" spans="1:4" ht="14.25" customHeight="1" x14ac:dyDescent="0.3">
      <c r="A26" s="25" t="s">
        <v>797</v>
      </c>
      <c r="B26" s="11" t="s">
        <v>798</v>
      </c>
      <c r="C26" s="10" t="s">
        <v>799</v>
      </c>
      <c r="D26" s="10" t="s">
        <v>800</v>
      </c>
    </row>
    <row r="27" spans="1:4" ht="14.25" customHeight="1" x14ac:dyDescent="0.3">
      <c r="A27" s="10"/>
      <c r="B27" s="11" t="s">
        <v>801</v>
      </c>
      <c r="C27" s="10" t="s">
        <v>802</v>
      </c>
      <c r="D27" s="10" t="s">
        <v>803</v>
      </c>
    </row>
    <row r="28" spans="1:4" ht="14.25" customHeight="1" x14ac:dyDescent="0.3">
      <c r="A28" s="10" t="s">
        <v>804</v>
      </c>
      <c r="B28" s="11" t="s">
        <v>805</v>
      </c>
      <c r="C28" s="10" t="s">
        <v>806</v>
      </c>
      <c r="D28" s="10" t="s">
        <v>807</v>
      </c>
    </row>
    <row r="29" spans="1:4" ht="14.25" customHeight="1" x14ac:dyDescent="0.3">
      <c r="A29" s="10" t="s">
        <v>808</v>
      </c>
      <c r="B29" s="11" t="s">
        <v>809</v>
      </c>
      <c r="C29" s="10" t="s">
        <v>810</v>
      </c>
      <c r="D29" s="10" t="s">
        <v>811</v>
      </c>
    </row>
    <row r="30" spans="1:4" ht="14.25" customHeight="1" x14ac:dyDescent="0.3">
      <c r="A30" s="10" t="s">
        <v>812</v>
      </c>
      <c r="B30" s="11" t="s">
        <v>813</v>
      </c>
      <c r="C30" s="10" t="s">
        <v>814</v>
      </c>
      <c r="D30" s="10" t="s">
        <v>815</v>
      </c>
    </row>
    <row r="31" spans="1:4" ht="14.25" customHeight="1" x14ac:dyDescent="0.3">
      <c r="A31" s="10" t="s">
        <v>816</v>
      </c>
      <c r="B31" s="11" t="s">
        <v>817</v>
      </c>
      <c r="C31" s="10" t="s">
        <v>818</v>
      </c>
      <c r="D31" s="10" t="s">
        <v>819</v>
      </c>
    </row>
    <row r="32" spans="1:4" ht="14.25" customHeight="1" x14ac:dyDescent="0.3">
      <c r="A32" s="10"/>
      <c r="B32" s="11" t="s">
        <v>820</v>
      </c>
      <c r="C32" s="10" t="s">
        <v>821</v>
      </c>
      <c r="D32" s="10" t="s">
        <v>822</v>
      </c>
    </row>
    <row r="33" spans="1:4" ht="22.5" customHeight="1" x14ac:dyDescent="0.3">
      <c r="A33" s="10"/>
      <c r="B33" s="11" t="s">
        <v>823</v>
      </c>
      <c r="C33" s="10" t="s">
        <v>824</v>
      </c>
      <c r="D33" s="10" t="s">
        <v>825</v>
      </c>
    </row>
    <row r="34" spans="1:4" ht="14.25" customHeight="1" x14ac:dyDescent="0.3">
      <c r="A34" s="10"/>
      <c r="B34" s="11" t="s">
        <v>826</v>
      </c>
      <c r="C34" s="10" t="s">
        <v>827</v>
      </c>
      <c r="D34" s="10" t="s">
        <v>828</v>
      </c>
    </row>
    <row r="35" spans="1:4" ht="14.25" customHeight="1" x14ac:dyDescent="0.3">
      <c r="A35" s="10" t="s">
        <v>829</v>
      </c>
      <c r="B35" s="11" t="s">
        <v>830</v>
      </c>
      <c r="C35" s="10" t="s">
        <v>831</v>
      </c>
      <c r="D35" s="10" t="s">
        <v>832</v>
      </c>
    </row>
    <row r="36" spans="1:4" ht="14.25" customHeight="1" x14ac:dyDescent="0.3">
      <c r="A36" s="10" t="s">
        <v>833</v>
      </c>
      <c r="B36" s="11" t="s">
        <v>834</v>
      </c>
      <c r="C36" s="10" t="s">
        <v>835</v>
      </c>
      <c r="D36" s="10" t="s">
        <v>836</v>
      </c>
    </row>
    <row r="37" spans="1:4" ht="14.25" customHeight="1" x14ac:dyDescent="0.3">
      <c r="A37" s="25" t="s">
        <v>837</v>
      </c>
      <c r="B37" s="11" t="s">
        <v>838</v>
      </c>
      <c r="C37" s="10" t="s">
        <v>839</v>
      </c>
      <c r="D37" s="10" t="s">
        <v>840</v>
      </c>
    </row>
    <row r="38" spans="1:4" ht="14.25" customHeight="1" x14ac:dyDescent="0.3">
      <c r="A38" s="10"/>
      <c r="B38" s="11" t="s">
        <v>841</v>
      </c>
      <c r="C38" s="10" t="s">
        <v>842</v>
      </c>
      <c r="D38" s="10" t="s">
        <v>843</v>
      </c>
    </row>
    <row r="39" spans="1:4" ht="14.25" customHeight="1" x14ac:dyDescent="0.3">
      <c r="A39" s="10"/>
      <c r="B39" s="11" t="s">
        <v>844</v>
      </c>
      <c r="C39" s="10" t="s">
        <v>845</v>
      </c>
      <c r="D39" s="10" t="s">
        <v>846</v>
      </c>
    </row>
    <row r="40" spans="1:4" ht="14.25" customHeight="1" x14ac:dyDescent="0.3">
      <c r="A40" s="10"/>
      <c r="B40" s="11" t="s">
        <v>847</v>
      </c>
      <c r="C40" s="10" t="s">
        <v>848</v>
      </c>
      <c r="D40" s="10" t="s">
        <v>849</v>
      </c>
    </row>
    <row r="41" spans="1:4" ht="24" customHeight="1" x14ac:dyDescent="0.3">
      <c r="A41" s="25" t="s">
        <v>850</v>
      </c>
      <c r="B41" s="11" t="s">
        <v>851</v>
      </c>
      <c r="C41" s="10" t="s">
        <v>852</v>
      </c>
      <c r="D41" s="10" t="s">
        <v>853</v>
      </c>
    </row>
    <row r="42" spans="1:4" ht="14.25" customHeight="1" x14ac:dyDescent="0.3">
      <c r="A42" s="10"/>
      <c r="B42" s="11" t="s">
        <v>854</v>
      </c>
      <c r="C42" s="10" t="s">
        <v>855</v>
      </c>
      <c r="D42" s="10" t="s">
        <v>856</v>
      </c>
    </row>
    <row r="43" spans="1:4" ht="22.5" customHeight="1" x14ac:dyDescent="0.3">
      <c r="A43" s="10"/>
      <c r="B43" s="11" t="s">
        <v>857</v>
      </c>
      <c r="C43" s="10" t="s">
        <v>858</v>
      </c>
      <c r="D43" s="10" t="s">
        <v>859</v>
      </c>
    </row>
    <row r="44" spans="1:4" ht="14.25" customHeight="1" x14ac:dyDescent="0.3">
      <c r="A44" s="10" t="s">
        <v>860</v>
      </c>
      <c r="B44" s="11" t="s">
        <v>861</v>
      </c>
      <c r="C44" s="10" t="s">
        <v>862</v>
      </c>
      <c r="D44" s="10" t="s">
        <v>863</v>
      </c>
    </row>
    <row r="45" spans="1:4" ht="14.25" customHeight="1" x14ac:dyDescent="0.3">
      <c r="A45" s="10" t="s">
        <v>864</v>
      </c>
      <c r="B45" s="11" t="s">
        <v>865</v>
      </c>
      <c r="C45" s="10" t="s">
        <v>866</v>
      </c>
      <c r="D45" s="10" t="s">
        <v>867</v>
      </c>
    </row>
    <row r="46" spans="1:4" ht="22.5" customHeight="1" x14ac:dyDescent="0.3">
      <c r="A46" s="10" t="s">
        <v>868</v>
      </c>
      <c r="B46" s="11" t="s">
        <v>869</v>
      </c>
      <c r="C46" s="10" t="s">
        <v>870</v>
      </c>
      <c r="D46" s="10" t="s">
        <v>871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Table S1</vt:lpstr>
      <vt:lpstr>Table S2</vt:lpstr>
      <vt:lpstr>Table S3a</vt:lpstr>
      <vt:lpstr>Table S3b</vt:lpstr>
      <vt:lpstr>Table 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Andile Ntlokwana</cp:lastModifiedBy>
  <cp:revision>0</cp:revision>
  <dcterms:created xsi:type="dcterms:W3CDTF">2026-09-26T13:57:28Z</dcterms:created>
  <dcterms:modified xsi:type="dcterms:W3CDTF">2026-10-01T16:12:54Z</dcterms:modified>
  <dc:language>en-US</dc:language>
</cp:coreProperties>
</file>